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1_{4D5B6CE0-CF58-4455-9044-4158855CEFA3}" xr6:coauthVersionLast="47" xr6:coauthVersionMax="47" xr10:uidLastSave="{00000000-0000-0000-0000-000000000000}"/>
  <bookViews>
    <workbookView xWindow="-120" yWindow="-120" windowWidth="20730" windowHeight="11040" firstSheet="4" activeTab="8" xr2:uid="{709485D9-0B89-493C-A6FA-B9B2CD3AFB8D}"/>
  </bookViews>
  <sheets>
    <sheet name="overall" sheetId="2" r:id="rId1"/>
    <sheet name="Campaign" sheetId="3" r:id="rId2"/>
    <sheet name="date" sheetId="4" r:id="rId3"/>
    <sheet name="Datetype" sheetId="5" r:id="rId4"/>
    <sheet name="Catergory" sheetId="6" r:id="rId5"/>
    <sheet name="Tier" sheetId="7" r:id="rId6"/>
    <sheet name="Sheet2" sheetId="11" r:id="rId7"/>
    <sheet name="Marketing" sheetId="1" r:id="rId8"/>
    <sheet name="Dashboard" sheetId="10" r:id="rId9"/>
  </sheets>
  <definedNames>
    <definedName name="Slicer_campaign_name">#N/A</definedName>
    <definedName name="Slicer_category">#N/A</definedName>
    <definedName name="Slicer_Date_Type">#N/A</definedName>
    <definedName name="Slicer_Tier">#N/A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O2" i="1"/>
  <c r="F4" i="2"/>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alcChain>
</file>

<file path=xl/sharedStrings.xml><?xml version="1.0" encoding="utf-8"?>
<sst xmlns="http://schemas.openxmlformats.org/spreadsheetml/2006/main" count="705" uniqueCount="57">
  <si>
    <t>id</t>
  </si>
  <si>
    <t>c_date</t>
  </si>
  <si>
    <t>campaign_name</t>
  </si>
  <si>
    <t>category</t>
  </si>
  <si>
    <t>campaign_id</t>
  </si>
  <si>
    <t>impressions</t>
  </si>
  <si>
    <t>mark_spent</t>
  </si>
  <si>
    <t>clicks</t>
  </si>
  <si>
    <t>leads</t>
  </si>
  <si>
    <t>orders</t>
  </si>
  <si>
    <t>revenue</t>
  </si>
  <si>
    <t>facebook_tier1</t>
  </si>
  <si>
    <t>social</t>
  </si>
  <si>
    <t>google_hot</t>
  </si>
  <si>
    <t>search</t>
  </si>
  <si>
    <t>google_wide</t>
  </si>
  <si>
    <t>youtube_blogger</t>
  </si>
  <si>
    <t>influencer</t>
  </si>
  <si>
    <t>instagram_tier1</t>
  </si>
  <si>
    <t>instagram_tier2</t>
  </si>
  <si>
    <t>facebook_retargeting</t>
  </si>
  <si>
    <t>facebook_lal</t>
  </si>
  <si>
    <t>instagram_blogger</t>
  </si>
  <si>
    <t>banner_partner</t>
  </si>
  <si>
    <t>media</t>
  </si>
  <si>
    <t>facebook_tier2</t>
  </si>
  <si>
    <t>CTR</t>
  </si>
  <si>
    <t>Conversion_1</t>
  </si>
  <si>
    <t>Conversion_2</t>
  </si>
  <si>
    <t>AOV</t>
  </si>
  <si>
    <t>CPC</t>
  </si>
  <si>
    <t>CPL</t>
  </si>
  <si>
    <t>CAC</t>
  </si>
  <si>
    <t>ROMI</t>
  </si>
  <si>
    <t>Gross_Profit</t>
  </si>
  <si>
    <t>Sum of mark_spent</t>
  </si>
  <si>
    <t>Sum of revenue</t>
  </si>
  <si>
    <t>Sum of orders</t>
  </si>
  <si>
    <t>Sum of Gross_Profit</t>
  </si>
  <si>
    <t>Overall ROMI</t>
  </si>
  <si>
    <t>Row Labels</t>
  </si>
  <si>
    <t>Grand Total</t>
  </si>
  <si>
    <t>Sum of clicks</t>
  </si>
  <si>
    <t>Date_Type</t>
  </si>
  <si>
    <t>Weekday</t>
  </si>
  <si>
    <t>Weekend</t>
  </si>
  <si>
    <t>Average of revenue</t>
  </si>
  <si>
    <t>Tier 1</t>
  </si>
  <si>
    <t xml:space="preserve">Tier </t>
  </si>
  <si>
    <t>Other</t>
  </si>
  <si>
    <t>Tier 2</t>
  </si>
  <si>
    <t>(All)</t>
  </si>
  <si>
    <t>Total orders</t>
  </si>
  <si>
    <t>Total Revenue</t>
  </si>
  <si>
    <t>Total  mark_spent</t>
  </si>
  <si>
    <t>Average of Conversion_1</t>
  </si>
  <si>
    <t>Average of Conversion_2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</si>
</sst>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49" fontId="0" fillId="0" borderId="0" xfId="0" applyNumberFormat="1"/>
    <xf numFmtId="9" fontId="0" fillId="0" borderId="0" xfId="42" applyFont="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0" borderId="0" xfId="42" applyNumberFormat="1" applyFont="1"/>
    <xf numFmtId="0" fontId="0" fillId="33" borderId="0" xfId="0" applyFill="1"/>
    <xf numFmtId="43" fontId="0" fillId="0" borderId="0" xfId="0" applyNumberFormat="1"/>
    <xf numFmtId="9"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30" formatCode="@"/>
    </dxf>
    <dxf>
      <numFmt numFmtId="30" formatCode="@"/>
    </dxf>
    <dxf>
      <numFmt numFmtId="35" formatCode="_(* #,##0.00_);_(* \(#,##0.00\);_(* &quot;-&quot;??_);_(@_)"/>
    </dxf>
    <dxf>
      <numFmt numFmtId="35" formatCode="_(* #,##0.00_);_(* \(#,##0.00\);_(* &quot;-&quot;??_);_(@_)"/>
    </dxf>
  </dxfs>
  <tableStyles count="0" defaultTableStyle="TableStyleMedium2" defaultPivotStyle="PivotStyleLight16"/>
  <colors>
    <mruColors>
      <color rgb="FF79A6FF"/>
      <color rgb="FFDAC2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Project.xlsx]overall!PivotTable1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OVERALL ROMI</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overall!$A$3</c:f>
              <c:strCache>
                <c:ptCount val="1"/>
                <c:pt idx="0">
                  <c:v>Total  mark_spent</c:v>
                </c:pt>
              </c:strCache>
            </c:strRef>
          </c:tx>
          <c:spPr>
            <a:solidFill>
              <a:schemeClr val="accent1"/>
            </a:solidFill>
            <a:ln>
              <a:noFill/>
            </a:ln>
            <a:effectLst/>
          </c:spPr>
          <c:invertIfNegative val="0"/>
          <c:cat>
            <c:strRef>
              <c:f>overall!$A$4</c:f>
              <c:strCache>
                <c:ptCount val="1"/>
                <c:pt idx="0">
                  <c:v>Total</c:v>
                </c:pt>
              </c:strCache>
            </c:strRef>
          </c:cat>
          <c:val>
            <c:numRef>
              <c:f>overall!$A$4</c:f>
              <c:numCache>
                <c:formatCode>_(* #,##0.00_);_(* \(#,##0.00\);_(* "-"??_);_(@_)</c:formatCode>
                <c:ptCount val="1"/>
                <c:pt idx="0">
                  <c:v>30590879.819999997</c:v>
                </c:pt>
              </c:numCache>
            </c:numRef>
          </c:val>
          <c:extLst>
            <c:ext xmlns:c16="http://schemas.microsoft.com/office/drawing/2014/chart" uri="{C3380CC4-5D6E-409C-BE32-E72D297353CC}">
              <c16:uniqueId val="{00000000-3D7F-4803-A11A-A5FA6CE2A19F}"/>
            </c:ext>
          </c:extLst>
        </c:ser>
        <c:ser>
          <c:idx val="1"/>
          <c:order val="1"/>
          <c:tx>
            <c:strRef>
              <c:f>overall!$B$3</c:f>
              <c:strCache>
                <c:ptCount val="1"/>
                <c:pt idx="0">
                  <c:v>Total Revenue</c:v>
                </c:pt>
              </c:strCache>
            </c:strRef>
          </c:tx>
          <c:spPr>
            <a:solidFill>
              <a:schemeClr val="accent2"/>
            </a:solidFill>
            <a:ln>
              <a:noFill/>
            </a:ln>
            <a:effectLst/>
          </c:spPr>
          <c:invertIfNegative val="0"/>
          <c:cat>
            <c:strRef>
              <c:f>overall!$A$4</c:f>
              <c:strCache>
                <c:ptCount val="1"/>
                <c:pt idx="0">
                  <c:v>Total</c:v>
                </c:pt>
              </c:strCache>
            </c:strRef>
          </c:cat>
          <c:val>
            <c:numRef>
              <c:f>overall!$B$4</c:f>
              <c:numCache>
                <c:formatCode>_(* #,##0.00_);_(* \(#,##0.00\);_(* "-"??_);_(@_)</c:formatCode>
                <c:ptCount val="1"/>
                <c:pt idx="0">
                  <c:v>42889366</c:v>
                </c:pt>
              </c:numCache>
            </c:numRef>
          </c:val>
          <c:extLst>
            <c:ext xmlns:c16="http://schemas.microsoft.com/office/drawing/2014/chart" uri="{C3380CC4-5D6E-409C-BE32-E72D297353CC}">
              <c16:uniqueId val="{00000001-3D7F-4803-A11A-A5FA6CE2A19F}"/>
            </c:ext>
          </c:extLst>
        </c:ser>
        <c:dLbls>
          <c:showLegendKey val="0"/>
          <c:showVal val="0"/>
          <c:showCatName val="0"/>
          <c:showSerName val="0"/>
          <c:showPercent val="0"/>
          <c:showBubbleSize val="0"/>
        </c:dLbls>
        <c:gapWidth val="219"/>
        <c:overlap val="-27"/>
        <c:axId val="1058724176"/>
        <c:axId val="1001790112"/>
      </c:barChart>
      <c:catAx>
        <c:axId val="105872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790112"/>
        <c:crosses val="autoZero"/>
        <c:auto val="1"/>
        <c:lblAlgn val="ctr"/>
        <c:lblOffset val="100"/>
        <c:noMultiLvlLbl val="0"/>
      </c:catAx>
      <c:valAx>
        <c:axId val="1001790112"/>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Project.xlsx]Campaign!PivotTable2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998752631168622E-2"/>
          <c:y val="0.27123782048221645"/>
          <c:w val="0.53422728099581607"/>
          <c:h val="0.64054124082871478"/>
        </c:manualLayout>
      </c:layout>
      <c:pie3DChart>
        <c:varyColors val="1"/>
        <c:ser>
          <c:idx val="0"/>
          <c:order val="0"/>
          <c:tx>
            <c:strRef>
              <c:f>Campaign!$B$3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4116-463F-9856-1F19C7841A70}"/>
              </c:ext>
            </c:extLst>
          </c:dPt>
          <c:dPt>
            <c:idx val="1"/>
            <c:bubble3D val="0"/>
            <c:spPr>
              <a:solidFill>
                <a:schemeClr val="accent2"/>
              </a:solidFill>
              <a:ln>
                <a:noFill/>
              </a:ln>
              <a:effectLst/>
              <a:sp3d/>
            </c:spPr>
            <c:extLst>
              <c:ext xmlns:c16="http://schemas.microsoft.com/office/drawing/2014/chart" uri="{C3380CC4-5D6E-409C-BE32-E72D297353CC}">
                <c16:uniqueId val="{00000003-4116-463F-9856-1F19C7841A70}"/>
              </c:ext>
            </c:extLst>
          </c:dPt>
          <c:dPt>
            <c:idx val="2"/>
            <c:bubble3D val="0"/>
            <c:spPr>
              <a:solidFill>
                <a:schemeClr val="accent3"/>
              </a:solidFill>
              <a:ln>
                <a:noFill/>
              </a:ln>
              <a:effectLst/>
              <a:sp3d/>
            </c:spPr>
            <c:extLst>
              <c:ext xmlns:c16="http://schemas.microsoft.com/office/drawing/2014/chart" uri="{C3380CC4-5D6E-409C-BE32-E72D297353CC}">
                <c16:uniqueId val="{00000005-4116-463F-9856-1F19C7841A70}"/>
              </c:ext>
            </c:extLst>
          </c:dPt>
          <c:dPt>
            <c:idx val="3"/>
            <c:bubble3D val="0"/>
            <c:spPr>
              <a:solidFill>
                <a:schemeClr val="accent4"/>
              </a:solidFill>
              <a:ln>
                <a:noFill/>
              </a:ln>
              <a:effectLst/>
              <a:sp3d/>
            </c:spPr>
            <c:extLst>
              <c:ext xmlns:c16="http://schemas.microsoft.com/office/drawing/2014/chart" uri="{C3380CC4-5D6E-409C-BE32-E72D297353CC}">
                <c16:uniqueId val="{00000007-4116-463F-9856-1F19C7841A70}"/>
              </c:ext>
            </c:extLst>
          </c:dPt>
          <c:dPt>
            <c:idx val="4"/>
            <c:bubble3D val="0"/>
            <c:spPr>
              <a:solidFill>
                <a:schemeClr val="accent5"/>
              </a:solidFill>
              <a:ln>
                <a:noFill/>
              </a:ln>
              <a:effectLst/>
              <a:sp3d/>
            </c:spPr>
            <c:extLst>
              <c:ext xmlns:c16="http://schemas.microsoft.com/office/drawing/2014/chart" uri="{C3380CC4-5D6E-409C-BE32-E72D297353CC}">
                <c16:uniqueId val="{00000009-4116-463F-9856-1F19C7841A70}"/>
              </c:ext>
            </c:extLst>
          </c:dPt>
          <c:dPt>
            <c:idx val="5"/>
            <c:bubble3D val="0"/>
            <c:spPr>
              <a:solidFill>
                <a:schemeClr val="accent6"/>
              </a:solidFill>
              <a:ln>
                <a:noFill/>
              </a:ln>
              <a:effectLst/>
              <a:sp3d/>
            </c:spPr>
            <c:extLst>
              <c:ext xmlns:c16="http://schemas.microsoft.com/office/drawing/2014/chart" uri="{C3380CC4-5D6E-409C-BE32-E72D297353CC}">
                <c16:uniqueId val="{0000000B-4116-463F-9856-1F19C7841A70}"/>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4116-463F-9856-1F19C7841A70}"/>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4116-463F-9856-1F19C7841A70}"/>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4116-463F-9856-1F19C7841A70}"/>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4116-463F-9856-1F19C7841A70}"/>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4116-463F-9856-1F19C7841A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Campaign!$B$4:$B$15</c:f>
              <c:numCache>
                <c:formatCode>General</c:formatCode>
                <c:ptCount val="11"/>
                <c:pt idx="0">
                  <c:v>1566</c:v>
                </c:pt>
                <c:pt idx="1">
                  <c:v>294</c:v>
                </c:pt>
                <c:pt idx="2">
                  <c:v>108</c:v>
                </c:pt>
                <c:pt idx="3">
                  <c:v>474</c:v>
                </c:pt>
                <c:pt idx="4">
                  <c:v>688</c:v>
                </c:pt>
                <c:pt idx="5">
                  <c:v>281</c:v>
                </c:pt>
                <c:pt idx="6">
                  <c:v>547</c:v>
                </c:pt>
                <c:pt idx="7">
                  <c:v>1100</c:v>
                </c:pt>
                <c:pt idx="8">
                  <c:v>758</c:v>
                </c:pt>
                <c:pt idx="9">
                  <c:v>313</c:v>
                </c:pt>
                <c:pt idx="10">
                  <c:v>1914</c:v>
                </c:pt>
              </c:numCache>
            </c:numRef>
          </c:val>
          <c:extLst>
            <c:ext xmlns:c16="http://schemas.microsoft.com/office/drawing/2014/chart" uri="{C3380CC4-5D6E-409C-BE32-E72D297353CC}">
              <c16:uniqueId val="{00000003-0525-43B3-9595-8D6575457643}"/>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692445622515008"/>
          <c:y val="0.22322058873289441"/>
          <c:w val="0.31307571607896839"/>
          <c:h val="0.716185184545713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Project.xlsx]date!PivotTable3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date!$B$6</c:f>
              <c:strCache>
                <c:ptCount val="1"/>
                <c:pt idx="0">
                  <c:v>Total</c:v>
                </c:pt>
              </c:strCache>
            </c:strRef>
          </c:tx>
          <c:spPr>
            <a:ln w="28575" cap="rnd">
              <a:solidFill>
                <a:schemeClr val="accent1"/>
              </a:solidFill>
              <a:round/>
            </a:ln>
            <a:effectLst/>
          </c:spPr>
          <c:marker>
            <c:symbol val="none"/>
          </c:marker>
          <c:cat>
            <c:strRef>
              <c:f>date!$A$7:$A$35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date!$B$7:$B$35</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8FC4-4F2F-B20C-6365208A3163}"/>
            </c:ext>
          </c:extLst>
        </c:ser>
        <c:dLbls>
          <c:showLegendKey val="0"/>
          <c:showVal val="0"/>
          <c:showCatName val="0"/>
          <c:showSerName val="0"/>
          <c:showPercent val="0"/>
          <c:showBubbleSize val="0"/>
        </c:dLbls>
        <c:smooth val="0"/>
        <c:axId val="710778656"/>
        <c:axId val="411706016"/>
      </c:lineChart>
      <c:catAx>
        <c:axId val="7107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706016"/>
        <c:crosses val="autoZero"/>
        <c:auto val="1"/>
        <c:lblAlgn val="ctr"/>
        <c:lblOffset val="100"/>
        <c:noMultiLvlLbl val="0"/>
      </c:catAx>
      <c:valAx>
        <c:axId val="41170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77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Project.xlsx]Datetype!PivotTable4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Revenue: Weekday vs Weekend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Datetype!$B$3</c:f>
              <c:strCache>
                <c:ptCount val="1"/>
                <c:pt idx="0">
                  <c:v>Average of revenue</c:v>
                </c:pt>
              </c:strCache>
            </c:strRef>
          </c:tx>
          <c:dPt>
            <c:idx val="0"/>
            <c:bubble3D val="0"/>
            <c:spPr>
              <a:solidFill>
                <a:schemeClr val="accent1"/>
              </a:solidFill>
              <a:ln>
                <a:noFill/>
              </a:ln>
              <a:effectLst/>
            </c:spPr>
            <c:extLst>
              <c:ext xmlns:c16="http://schemas.microsoft.com/office/drawing/2014/chart" uri="{C3380CC4-5D6E-409C-BE32-E72D297353CC}">
                <c16:uniqueId val="{00000001-FE60-4CB0-A751-901A31D95D64}"/>
              </c:ext>
            </c:extLst>
          </c:dPt>
          <c:dPt>
            <c:idx val="1"/>
            <c:bubble3D val="0"/>
            <c:spPr>
              <a:solidFill>
                <a:schemeClr val="accent2"/>
              </a:solidFill>
              <a:ln>
                <a:noFill/>
              </a:ln>
              <a:effectLst/>
            </c:spPr>
            <c:extLst>
              <c:ext xmlns:c16="http://schemas.microsoft.com/office/drawing/2014/chart" uri="{C3380CC4-5D6E-409C-BE32-E72D297353CC}">
                <c16:uniqueId val="{00000003-FE60-4CB0-A751-901A31D95D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Datetype!$B$4:$B$6</c:f>
              <c:numCache>
                <c:formatCode>General</c:formatCode>
                <c:ptCount val="2"/>
                <c:pt idx="0">
                  <c:v>141914.24090909091</c:v>
                </c:pt>
                <c:pt idx="1">
                  <c:v>132593.55681818182</c:v>
                </c:pt>
              </c:numCache>
            </c:numRef>
          </c:val>
          <c:extLst>
            <c:ext xmlns:c16="http://schemas.microsoft.com/office/drawing/2014/chart" uri="{C3380CC4-5D6E-409C-BE32-E72D297353CC}">
              <c16:uniqueId val="{00000000-DCB3-4E95-BD8B-F97D5060E505}"/>
            </c:ext>
          </c:extLst>
        </c:ser>
        <c:ser>
          <c:idx val="1"/>
          <c:order val="1"/>
          <c:tx>
            <c:strRef>
              <c:f>Datetype!$C$3</c:f>
              <c:strCache>
                <c:ptCount val="1"/>
                <c:pt idx="0">
                  <c:v>Sum of orders</c:v>
                </c:pt>
              </c:strCache>
            </c:strRef>
          </c:tx>
          <c:dPt>
            <c:idx val="0"/>
            <c:bubble3D val="0"/>
            <c:spPr>
              <a:solidFill>
                <a:schemeClr val="accent1"/>
              </a:solidFill>
              <a:ln>
                <a:noFill/>
              </a:ln>
              <a:effectLst/>
            </c:spPr>
            <c:extLst>
              <c:ext xmlns:c16="http://schemas.microsoft.com/office/drawing/2014/chart" uri="{C3380CC4-5D6E-409C-BE32-E72D297353CC}">
                <c16:uniqueId val="{00000005-FE60-4CB0-A751-901A31D95D64}"/>
              </c:ext>
            </c:extLst>
          </c:dPt>
          <c:dPt>
            <c:idx val="1"/>
            <c:bubble3D val="0"/>
            <c:spPr>
              <a:solidFill>
                <a:schemeClr val="accent2"/>
              </a:solidFill>
              <a:ln>
                <a:noFill/>
              </a:ln>
              <a:effectLst/>
            </c:spPr>
            <c:extLst>
              <c:ext xmlns:c16="http://schemas.microsoft.com/office/drawing/2014/chart" uri="{C3380CC4-5D6E-409C-BE32-E72D297353CC}">
                <c16:uniqueId val="{00000007-FE60-4CB0-A751-901A31D95D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Datetype!$C$4:$C$6</c:f>
              <c:numCache>
                <c:formatCode>General</c:formatCode>
                <c:ptCount val="2"/>
                <c:pt idx="0">
                  <c:v>5763</c:v>
                </c:pt>
                <c:pt idx="1">
                  <c:v>2280</c:v>
                </c:pt>
              </c:numCache>
            </c:numRef>
          </c:val>
          <c:extLst>
            <c:ext xmlns:c16="http://schemas.microsoft.com/office/drawing/2014/chart" uri="{C3380CC4-5D6E-409C-BE32-E72D297353CC}">
              <c16:uniqueId val="{00000000-547A-4E9D-83DB-C7A75CEBB13C}"/>
            </c:ext>
          </c:extLst>
        </c:ser>
        <c:ser>
          <c:idx val="2"/>
          <c:order val="2"/>
          <c:tx>
            <c:strRef>
              <c:f>Datetype!$D$3</c:f>
              <c:strCache>
                <c:ptCount val="1"/>
                <c:pt idx="0">
                  <c:v>Sum of clicks</c:v>
                </c:pt>
              </c:strCache>
            </c:strRef>
          </c:tx>
          <c:dPt>
            <c:idx val="0"/>
            <c:bubble3D val="0"/>
            <c:spPr>
              <a:solidFill>
                <a:schemeClr val="accent1"/>
              </a:solidFill>
              <a:ln>
                <a:noFill/>
              </a:ln>
              <a:effectLst/>
            </c:spPr>
            <c:extLst>
              <c:ext xmlns:c16="http://schemas.microsoft.com/office/drawing/2014/chart" uri="{C3380CC4-5D6E-409C-BE32-E72D297353CC}">
                <c16:uniqueId val="{00000009-FE60-4CB0-A751-901A31D95D64}"/>
              </c:ext>
            </c:extLst>
          </c:dPt>
          <c:dPt>
            <c:idx val="1"/>
            <c:bubble3D val="0"/>
            <c:spPr>
              <a:solidFill>
                <a:schemeClr val="accent2"/>
              </a:solidFill>
              <a:ln>
                <a:noFill/>
              </a:ln>
              <a:effectLst/>
            </c:spPr>
            <c:extLst>
              <c:ext xmlns:c16="http://schemas.microsoft.com/office/drawing/2014/chart" uri="{C3380CC4-5D6E-409C-BE32-E72D297353CC}">
                <c16:uniqueId val="{0000000B-FE60-4CB0-A751-901A31D95D6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Datetype!$D$4:$D$6</c:f>
              <c:numCache>
                <c:formatCode>General</c:formatCode>
                <c:ptCount val="2"/>
                <c:pt idx="0">
                  <c:v>2210913</c:v>
                </c:pt>
                <c:pt idx="1">
                  <c:v>789006</c:v>
                </c:pt>
              </c:numCache>
            </c:numRef>
          </c:val>
          <c:extLst>
            <c:ext xmlns:c16="http://schemas.microsoft.com/office/drawing/2014/chart" uri="{C3380CC4-5D6E-409C-BE32-E72D297353CC}">
              <c16:uniqueId val="{00000002-547A-4E9D-83DB-C7A75CEBB13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Project.xlsx]Catergory!PivotTable5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2060"/>
                </a:solidFill>
              </a:rPr>
              <a:t>Marketing Performance by Campaign Category</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Catergory!$B$5</c:f>
              <c:strCache>
                <c:ptCount val="1"/>
                <c:pt idx="0">
                  <c:v>Sum of revenue</c:v>
                </c:pt>
              </c:strCache>
            </c:strRef>
          </c:tx>
          <c:spPr>
            <a:solidFill>
              <a:schemeClr val="accent1"/>
            </a:solidFill>
            <a:ln>
              <a:noFill/>
            </a:ln>
            <a:effectLst/>
          </c:spPr>
          <c:invertIfNegative val="0"/>
          <c:cat>
            <c:strRef>
              <c:f>Catergory!$A$6:$A$10</c:f>
              <c:strCache>
                <c:ptCount val="4"/>
                <c:pt idx="0">
                  <c:v>influencer</c:v>
                </c:pt>
                <c:pt idx="1">
                  <c:v>media</c:v>
                </c:pt>
                <c:pt idx="2">
                  <c:v>search</c:v>
                </c:pt>
                <c:pt idx="3">
                  <c:v>social</c:v>
                </c:pt>
              </c:strCache>
            </c:strRef>
          </c:cat>
          <c:val>
            <c:numRef>
              <c:f>Catergory!$B$6:$B$10</c:f>
              <c:numCache>
                <c:formatCode>General</c:formatCode>
                <c:ptCount val="4"/>
                <c:pt idx="0">
                  <c:v>21119887</c:v>
                </c:pt>
                <c:pt idx="1">
                  <c:v>6152960</c:v>
                </c:pt>
                <c:pt idx="2">
                  <c:v>3705065</c:v>
                </c:pt>
                <c:pt idx="3">
                  <c:v>11911454</c:v>
                </c:pt>
              </c:numCache>
            </c:numRef>
          </c:val>
          <c:extLst>
            <c:ext xmlns:c16="http://schemas.microsoft.com/office/drawing/2014/chart" uri="{C3380CC4-5D6E-409C-BE32-E72D297353CC}">
              <c16:uniqueId val="{00000000-EA55-4069-88A5-DC35DD072D6E}"/>
            </c:ext>
          </c:extLst>
        </c:ser>
        <c:ser>
          <c:idx val="1"/>
          <c:order val="1"/>
          <c:tx>
            <c:strRef>
              <c:f>Catergory!$C$5</c:f>
              <c:strCache>
                <c:ptCount val="1"/>
                <c:pt idx="0">
                  <c:v>Sum of mark_spent</c:v>
                </c:pt>
              </c:strCache>
            </c:strRef>
          </c:tx>
          <c:spPr>
            <a:solidFill>
              <a:schemeClr val="accent2"/>
            </a:solidFill>
            <a:ln>
              <a:noFill/>
            </a:ln>
            <a:effectLst/>
          </c:spPr>
          <c:invertIfNegative val="0"/>
          <c:cat>
            <c:strRef>
              <c:f>Catergory!$A$6:$A$10</c:f>
              <c:strCache>
                <c:ptCount val="4"/>
                <c:pt idx="0">
                  <c:v>influencer</c:v>
                </c:pt>
                <c:pt idx="1">
                  <c:v>media</c:v>
                </c:pt>
                <c:pt idx="2">
                  <c:v>search</c:v>
                </c:pt>
                <c:pt idx="3">
                  <c:v>social</c:v>
                </c:pt>
              </c:strCache>
            </c:strRef>
          </c:cat>
          <c:val>
            <c:numRef>
              <c:f>Catergory!$C$6:$C$10</c:f>
              <c:numCache>
                <c:formatCode>General</c:formatCode>
                <c:ptCount val="4"/>
                <c:pt idx="0">
                  <c:v>8305304.080000001</c:v>
                </c:pt>
                <c:pt idx="1">
                  <c:v>5026674.7600000007</c:v>
                </c:pt>
                <c:pt idx="2">
                  <c:v>3460400.0700000008</c:v>
                </c:pt>
                <c:pt idx="3">
                  <c:v>13798500.909999993</c:v>
                </c:pt>
              </c:numCache>
            </c:numRef>
          </c:val>
          <c:extLst>
            <c:ext xmlns:c16="http://schemas.microsoft.com/office/drawing/2014/chart" uri="{C3380CC4-5D6E-409C-BE32-E72D297353CC}">
              <c16:uniqueId val="{00000001-EA55-4069-88A5-DC35DD072D6E}"/>
            </c:ext>
          </c:extLst>
        </c:ser>
        <c:ser>
          <c:idx val="2"/>
          <c:order val="2"/>
          <c:tx>
            <c:strRef>
              <c:f>Catergory!$D$5</c:f>
              <c:strCache>
                <c:ptCount val="1"/>
                <c:pt idx="0">
                  <c:v>Sum of orders</c:v>
                </c:pt>
              </c:strCache>
            </c:strRef>
          </c:tx>
          <c:spPr>
            <a:solidFill>
              <a:schemeClr val="accent3"/>
            </a:solidFill>
            <a:ln>
              <a:noFill/>
            </a:ln>
            <a:effectLst/>
          </c:spPr>
          <c:invertIfNegative val="0"/>
          <c:cat>
            <c:strRef>
              <c:f>Catergory!$A$6:$A$10</c:f>
              <c:strCache>
                <c:ptCount val="4"/>
                <c:pt idx="0">
                  <c:v>influencer</c:v>
                </c:pt>
                <c:pt idx="1">
                  <c:v>media</c:v>
                </c:pt>
                <c:pt idx="2">
                  <c:v>search</c:v>
                </c:pt>
                <c:pt idx="3">
                  <c:v>social</c:v>
                </c:pt>
              </c:strCache>
            </c:strRef>
          </c:cat>
          <c:val>
            <c:numRef>
              <c:f>Catergory!$D$6:$D$10</c:f>
              <c:numCache>
                <c:formatCode>General</c:formatCode>
                <c:ptCount val="4"/>
                <c:pt idx="0">
                  <c:v>3014</c:v>
                </c:pt>
                <c:pt idx="1">
                  <c:v>1566</c:v>
                </c:pt>
                <c:pt idx="2">
                  <c:v>828</c:v>
                </c:pt>
                <c:pt idx="3">
                  <c:v>2635</c:v>
                </c:pt>
              </c:numCache>
            </c:numRef>
          </c:val>
          <c:extLst>
            <c:ext xmlns:c16="http://schemas.microsoft.com/office/drawing/2014/chart" uri="{C3380CC4-5D6E-409C-BE32-E72D297353CC}">
              <c16:uniqueId val="{00000002-EA55-4069-88A5-DC35DD072D6E}"/>
            </c:ext>
          </c:extLst>
        </c:ser>
        <c:ser>
          <c:idx val="3"/>
          <c:order val="3"/>
          <c:tx>
            <c:strRef>
              <c:f>Catergory!$E$5</c:f>
              <c:strCache>
                <c:ptCount val="1"/>
                <c:pt idx="0">
                  <c:v>Sum of Gross_Profit</c:v>
                </c:pt>
              </c:strCache>
            </c:strRef>
          </c:tx>
          <c:spPr>
            <a:solidFill>
              <a:schemeClr val="accent4"/>
            </a:solidFill>
            <a:ln>
              <a:noFill/>
            </a:ln>
            <a:effectLst/>
          </c:spPr>
          <c:invertIfNegative val="0"/>
          <c:cat>
            <c:strRef>
              <c:f>Catergory!$A$6:$A$10</c:f>
              <c:strCache>
                <c:ptCount val="4"/>
                <c:pt idx="0">
                  <c:v>influencer</c:v>
                </c:pt>
                <c:pt idx="1">
                  <c:v>media</c:v>
                </c:pt>
                <c:pt idx="2">
                  <c:v>search</c:v>
                </c:pt>
                <c:pt idx="3">
                  <c:v>social</c:v>
                </c:pt>
              </c:strCache>
            </c:strRef>
          </c:cat>
          <c:val>
            <c:numRef>
              <c:f>Catergory!$E$6:$E$10</c:f>
              <c:numCache>
                <c:formatCode>General</c:formatCode>
                <c:ptCount val="4"/>
                <c:pt idx="0">
                  <c:v>12814582.92</c:v>
                </c:pt>
                <c:pt idx="1">
                  <c:v>1126285.2400000002</c:v>
                </c:pt>
                <c:pt idx="2">
                  <c:v>244664.93</c:v>
                </c:pt>
                <c:pt idx="3">
                  <c:v>-1887046.9099999992</c:v>
                </c:pt>
              </c:numCache>
            </c:numRef>
          </c:val>
          <c:extLst>
            <c:ext xmlns:c16="http://schemas.microsoft.com/office/drawing/2014/chart" uri="{C3380CC4-5D6E-409C-BE32-E72D297353CC}">
              <c16:uniqueId val="{00000003-EA55-4069-88A5-DC35DD072D6E}"/>
            </c:ext>
          </c:extLst>
        </c:ser>
        <c:dLbls>
          <c:showLegendKey val="0"/>
          <c:showVal val="0"/>
          <c:showCatName val="0"/>
          <c:showSerName val="0"/>
          <c:showPercent val="0"/>
          <c:showBubbleSize val="0"/>
        </c:dLbls>
        <c:gapWidth val="219"/>
        <c:overlap val="-27"/>
        <c:axId val="1169392992"/>
        <c:axId val="1044529280"/>
      </c:barChart>
      <c:catAx>
        <c:axId val="11693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29280"/>
        <c:crosses val="autoZero"/>
        <c:auto val="1"/>
        <c:lblAlgn val="ctr"/>
        <c:lblOffset val="100"/>
        <c:noMultiLvlLbl val="0"/>
      </c:catAx>
      <c:valAx>
        <c:axId val="104452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3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Project.xlsx]Tier!PivotTable6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by Campaign Tier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3635121817952"/>
          <c:y val="0.20665090143583589"/>
          <c:w val="0.7292980071302162"/>
          <c:h val="0.6234927509934407"/>
        </c:manualLayout>
      </c:layout>
      <c:barChart>
        <c:barDir val="col"/>
        <c:grouping val="clustered"/>
        <c:varyColors val="0"/>
        <c:ser>
          <c:idx val="0"/>
          <c:order val="0"/>
          <c:tx>
            <c:strRef>
              <c:f>Tier!$B$5</c:f>
              <c:strCache>
                <c:ptCount val="1"/>
                <c:pt idx="0">
                  <c:v>Sum of revenue</c:v>
                </c:pt>
              </c:strCache>
            </c:strRef>
          </c:tx>
          <c:spPr>
            <a:solidFill>
              <a:schemeClr val="accent1"/>
            </a:solidFill>
            <a:ln>
              <a:noFill/>
            </a:ln>
            <a:effectLst/>
          </c:spPr>
          <c:invertIfNegative val="0"/>
          <c:cat>
            <c:strRef>
              <c:f>Tier!$A$6:$A$9</c:f>
              <c:strCache>
                <c:ptCount val="3"/>
                <c:pt idx="0">
                  <c:v>Other</c:v>
                </c:pt>
                <c:pt idx="1">
                  <c:v>Tier 1</c:v>
                </c:pt>
                <c:pt idx="2">
                  <c:v>Tier 2</c:v>
                </c:pt>
              </c:strCache>
            </c:strRef>
          </c:cat>
          <c:val>
            <c:numRef>
              <c:f>Tier!$B$6:$B$9</c:f>
              <c:numCache>
                <c:formatCode>General</c:formatCode>
                <c:ptCount val="3"/>
                <c:pt idx="0">
                  <c:v>31815064</c:v>
                </c:pt>
                <c:pt idx="1">
                  <c:v>6940536</c:v>
                </c:pt>
                <c:pt idx="2">
                  <c:v>4133766</c:v>
                </c:pt>
              </c:numCache>
            </c:numRef>
          </c:val>
          <c:extLst>
            <c:ext xmlns:c16="http://schemas.microsoft.com/office/drawing/2014/chart" uri="{C3380CC4-5D6E-409C-BE32-E72D297353CC}">
              <c16:uniqueId val="{00000000-DB7D-4D3B-A3A3-5AE516175170}"/>
            </c:ext>
          </c:extLst>
        </c:ser>
        <c:ser>
          <c:idx val="1"/>
          <c:order val="1"/>
          <c:tx>
            <c:strRef>
              <c:f>Tier!$C$5</c:f>
              <c:strCache>
                <c:ptCount val="1"/>
                <c:pt idx="0">
                  <c:v>Sum of mark_spent</c:v>
                </c:pt>
              </c:strCache>
            </c:strRef>
          </c:tx>
          <c:spPr>
            <a:solidFill>
              <a:schemeClr val="accent2"/>
            </a:solidFill>
            <a:ln>
              <a:noFill/>
            </a:ln>
            <a:effectLst/>
          </c:spPr>
          <c:invertIfNegative val="0"/>
          <c:cat>
            <c:strRef>
              <c:f>Tier!$A$6:$A$9</c:f>
              <c:strCache>
                <c:ptCount val="3"/>
                <c:pt idx="0">
                  <c:v>Other</c:v>
                </c:pt>
                <c:pt idx="1">
                  <c:v>Tier 1</c:v>
                </c:pt>
                <c:pt idx="2">
                  <c:v>Tier 2</c:v>
                </c:pt>
              </c:strCache>
            </c:strRef>
          </c:cat>
          <c:val>
            <c:numRef>
              <c:f>Tier!$C$6:$C$9</c:f>
              <c:numCache>
                <c:formatCode>General</c:formatCode>
                <c:ptCount val="3"/>
                <c:pt idx="0">
                  <c:v>19700784.370000001</c:v>
                </c:pt>
                <c:pt idx="1">
                  <c:v>5130070.7300000023</c:v>
                </c:pt>
                <c:pt idx="2">
                  <c:v>5760024.7200000016</c:v>
                </c:pt>
              </c:numCache>
            </c:numRef>
          </c:val>
          <c:extLst>
            <c:ext xmlns:c16="http://schemas.microsoft.com/office/drawing/2014/chart" uri="{C3380CC4-5D6E-409C-BE32-E72D297353CC}">
              <c16:uniqueId val="{00000000-23D8-4DC4-AF66-B0338ED16CE8}"/>
            </c:ext>
          </c:extLst>
        </c:ser>
        <c:dLbls>
          <c:showLegendKey val="0"/>
          <c:showVal val="0"/>
          <c:showCatName val="0"/>
          <c:showSerName val="0"/>
          <c:showPercent val="0"/>
          <c:showBubbleSize val="0"/>
        </c:dLbls>
        <c:gapWidth val="219"/>
        <c:overlap val="-27"/>
        <c:axId val="803039408"/>
        <c:axId val="687342208"/>
      </c:barChart>
      <c:catAx>
        <c:axId val="8030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42208"/>
        <c:crosses val="autoZero"/>
        <c:auto val="1"/>
        <c:lblAlgn val="ctr"/>
        <c:lblOffset val="100"/>
        <c:noMultiLvlLbl val="0"/>
      </c:catAx>
      <c:valAx>
        <c:axId val="68734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03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Campaign Conversion Rate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Average of Conversion_1</c:v>
                </c:pt>
              </c:strCache>
            </c:strRef>
          </c:tx>
          <c:spPr>
            <a:solidFill>
              <a:schemeClr val="accent1"/>
            </a:solidFill>
            <a:ln>
              <a:noFill/>
            </a:ln>
            <a:effectLst/>
          </c:spPr>
          <c:invertIfNegative val="0"/>
          <c:cat>
            <c:strRef>
              <c:f>Sheet2!$A$4:$A$15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Sheet2!$B$4:$B$15</c:f>
              <c:numCache>
                <c:formatCode>0%</c:formatCode>
                <c:ptCount val="11"/>
                <c:pt idx="0">
                  <c:v>2.2150005855341392E-2</c:v>
                </c:pt>
                <c:pt idx="1">
                  <c:v>1.6921552995712512E-2</c:v>
                </c:pt>
                <c:pt idx="2">
                  <c:v>1.8000437214540359E-2</c:v>
                </c:pt>
                <c:pt idx="3">
                  <c:v>2.0717642754987577E-2</c:v>
                </c:pt>
                <c:pt idx="4">
                  <c:v>2.4447544782113705E-2</c:v>
                </c:pt>
                <c:pt idx="5">
                  <c:v>2.0072598771871931E-2</c:v>
                </c:pt>
                <c:pt idx="6">
                  <c:v>2.0798525062348579E-2</c:v>
                </c:pt>
                <c:pt idx="7">
                  <c:v>2.3151802073023676E-2</c:v>
                </c:pt>
                <c:pt idx="8">
                  <c:v>1.9936571505835488E-2</c:v>
                </c:pt>
                <c:pt idx="9">
                  <c:v>2.1014516578772739E-2</c:v>
                </c:pt>
                <c:pt idx="10">
                  <c:v>2.3033150837146722E-2</c:v>
                </c:pt>
              </c:numCache>
            </c:numRef>
          </c:val>
          <c:extLst>
            <c:ext xmlns:c16="http://schemas.microsoft.com/office/drawing/2014/chart" uri="{C3380CC4-5D6E-409C-BE32-E72D297353CC}">
              <c16:uniqueId val="{00000000-8688-4EC4-BA05-90C5C8C45CBC}"/>
            </c:ext>
          </c:extLst>
        </c:ser>
        <c:ser>
          <c:idx val="1"/>
          <c:order val="1"/>
          <c:tx>
            <c:strRef>
              <c:f>Sheet2!$C$3</c:f>
              <c:strCache>
                <c:ptCount val="1"/>
                <c:pt idx="0">
                  <c:v>Average of Conversion_2</c:v>
                </c:pt>
              </c:strCache>
            </c:strRef>
          </c:tx>
          <c:spPr>
            <a:solidFill>
              <a:schemeClr val="accent2"/>
            </a:solidFill>
            <a:ln>
              <a:noFill/>
            </a:ln>
            <a:effectLst/>
          </c:spPr>
          <c:invertIfNegative val="0"/>
          <c:cat>
            <c:strRef>
              <c:f>Sheet2!$A$4:$A$15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Sheet2!$C$4:$C$15</c:f>
              <c:numCache>
                <c:formatCode>0%</c:formatCode>
                <c:ptCount val="11"/>
                <c:pt idx="0">
                  <c:v>0.14603304880179757</c:v>
                </c:pt>
                <c:pt idx="1">
                  <c:v>0.15285342885198519</c:v>
                </c:pt>
                <c:pt idx="2">
                  <c:v>0.204066148081994</c:v>
                </c:pt>
                <c:pt idx="3">
                  <c:v>0.12117711724434001</c:v>
                </c:pt>
                <c:pt idx="4">
                  <c:v>8.1515640910223938E-2</c:v>
                </c:pt>
                <c:pt idx="5">
                  <c:v>0.1361514380242192</c:v>
                </c:pt>
                <c:pt idx="6">
                  <c:v>9.3494305206137773E-2</c:v>
                </c:pt>
                <c:pt idx="7">
                  <c:v>0.1520560283194218</c:v>
                </c:pt>
                <c:pt idx="8">
                  <c:v>0.10728768084489329</c:v>
                </c:pt>
                <c:pt idx="9">
                  <c:v>2.6324487727243266E-2</c:v>
                </c:pt>
                <c:pt idx="10">
                  <c:v>0.19846001742621092</c:v>
                </c:pt>
              </c:numCache>
            </c:numRef>
          </c:val>
          <c:extLst>
            <c:ext xmlns:c16="http://schemas.microsoft.com/office/drawing/2014/chart" uri="{C3380CC4-5D6E-409C-BE32-E72D297353CC}">
              <c16:uniqueId val="{00000001-8688-4EC4-BA05-90C5C8C45CBC}"/>
            </c:ext>
          </c:extLst>
        </c:ser>
        <c:dLbls>
          <c:showLegendKey val="0"/>
          <c:showVal val="0"/>
          <c:showCatName val="0"/>
          <c:showSerName val="0"/>
          <c:showPercent val="0"/>
          <c:showBubbleSize val="0"/>
        </c:dLbls>
        <c:gapWidth val="182"/>
        <c:axId val="2050530848"/>
        <c:axId val="1935163552"/>
      </c:barChart>
      <c:catAx>
        <c:axId val="205053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163552"/>
        <c:crosses val="autoZero"/>
        <c:auto val="1"/>
        <c:lblAlgn val="ctr"/>
        <c:lblOffset val="100"/>
        <c:noMultiLvlLbl val="0"/>
      </c:catAx>
      <c:valAx>
        <c:axId val="1935163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53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Project.xlsx]Campaign!PivotTable2</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0" i="0" u="none" strike="noStrike" baseline="0">
                <a:solidFill>
                  <a:srgbClr val="002060"/>
                </a:solidFill>
              </a:rPr>
              <a:t>ROMI and Performance by Campaign</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389992011868087E-2"/>
          <c:y val="0.19343032966984006"/>
          <c:w val="0.53422728099581607"/>
          <c:h val="0.64054124082871478"/>
        </c:manualLayout>
      </c:layout>
      <c:pie3DChart>
        <c:varyColors val="1"/>
        <c:ser>
          <c:idx val="0"/>
          <c:order val="0"/>
          <c:tx>
            <c:strRef>
              <c:f>Campaign!$B$3</c:f>
              <c:strCache>
                <c:ptCount val="1"/>
                <c:pt idx="0">
                  <c:v>Total</c:v>
                </c:pt>
              </c:strCache>
            </c:strRef>
          </c:tx>
          <c:dPt>
            <c:idx val="0"/>
            <c:bubble3D val="0"/>
            <c:spPr>
              <a:solidFill>
                <a:schemeClr val="bg1"/>
              </a:solidFill>
              <a:ln>
                <a:noFill/>
              </a:ln>
              <a:effectLst/>
              <a:sp3d/>
            </c:spPr>
            <c:extLst>
              <c:ext xmlns:c16="http://schemas.microsoft.com/office/drawing/2014/chart" uri="{C3380CC4-5D6E-409C-BE32-E72D297353CC}">
                <c16:uniqueId val="{00000001-D411-4E4F-B48A-FD38C3392AE8}"/>
              </c:ext>
            </c:extLst>
          </c:dPt>
          <c:dPt>
            <c:idx val="1"/>
            <c:bubble3D val="0"/>
            <c:spPr>
              <a:solidFill>
                <a:schemeClr val="accent2"/>
              </a:solidFill>
              <a:ln>
                <a:noFill/>
              </a:ln>
              <a:effectLst/>
              <a:sp3d/>
            </c:spPr>
            <c:extLst>
              <c:ext xmlns:c16="http://schemas.microsoft.com/office/drawing/2014/chart" uri="{C3380CC4-5D6E-409C-BE32-E72D297353CC}">
                <c16:uniqueId val="{00000003-D411-4E4F-B48A-FD38C3392AE8}"/>
              </c:ext>
            </c:extLst>
          </c:dPt>
          <c:dPt>
            <c:idx val="2"/>
            <c:bubble3D val="0"/>
            <c:spPr>
              <a:solidFill>
                <a:schemeClr val="accent3"/>
              </a:solidFill>
              <a:ln>
                <a:noFill/>
              </a:ln>
              <a:effectLst/>
              <a:sp3d/>
            </c:spPr>
            <c:extLst>
              <c:ext xmlns:c16="http://schemas.microsoft.com/office/drawing/2014/chart" uri="{C3380CC4-5D6E-409C-BE32-E72D297353CC}">
                <c16:uniqueId val="{00000005-D411-4E4F-B48A-FD38C3392AE8}"/>
              </c:ext>
            </c:extLst>
          </c:dPt>
          <c:dPt>
            <c:idx val="3"/>
            <c:bubble3D val="0"/>
            <c:spPr>
              <a:solidFill>
                <a:schemeClr val="accent4"/>
              </a:solidFill>
              <a:ln>
                <a:noFill/>
              </a:ln>
              <a:effectLst/>
              <a:sp3d/>
            </c:spPr>
            <c:extLst>
              <c:ext xmlns:c16="http://schemas.microsoft.com/office/drawing/2014/chart" uri="{C3380CC4-5D6E-409C-BE32-E72D297353CC}">
                <c16:uniqueId val="{00000007-D411-4E4F-B48A-FD38C3392AE8}"/>
              </c:ext>
            </c:extLst>
          </c:dPt>
          <c:dPt>
            <c:idx val="4"/>
            <c:bubble3D val="0"/>
            <c:spPr>
              <a:solidFill>
                <a:schemeClr val="accent5"/>
              </a:solidFill>
              <a:ln>
                <a:noFill/>
              </a:ln>
              <a:effectLst/>
              <a:sp3d/>
            </c:spPr>
            <c:extLst>
              <c:ext xmlns:c16="http://schemas.microsoft.com/office/drawing/2014/chart" uri="{C3380CC4-5D6E-409C-BE32-E72D297353CC}">
                <c16:uniqueId val="{00000009-D411-4E4F-B48A-FD38C3392AE8}"/>
              </c:ext>
            </c:extLst>
          </c:dPt>
          <c:dPt>
            <c:idx val="5"/>
            <c:bubble3D val="0"/>
            <c:spPr>
              <a:solidFill>
                <a:schemeClr val="accent6"/>
              </a:solidFill>
              <a:ln>
                <a:noFill/>
              </a:ln>
              <a:effectLst/>
              <a:sp3d/>
            </c:spPr>
            <c:extLst>
              <c:ext xmlns:c16="http://schemas.microsoft.com/office/drawing/2014/chart" uri="{C3380CC4-5D6E-409C-BE32-E72D297353CC}">
                <c16:uniqueId val="{0000000B-D411-4E4F-B48A-FD38C3392AE8}"/>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D411-4E4F-B48A-FD38C3392AE8}"/>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D411-4E4F-B48A-FD38C3392AE8}"/>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D411-4E4F-B48A-FD38C3392AE8}"/>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D411-4E4F-B48A-FD38C3392AE8}"/>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D411-4E4F-B48A-FD38C3392A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Campaign!$B$4:$B$15</c:f>
              <c:numCache>
                <c:formatCode>General</c:formatCode>
                <c:ptCount val="11"/>
                <c:pt idx="0">
                  <c:v>1566</c:v>
                </c:pt>
                <c:pt idx="1">
                  <c:v>294</c:v>
                </c:pt>
                <c:pt idx="2">
                  <c:v>108</c:v>
                </c:pt>
                <c:pt idx="3">
                  <c:v>474</c:v>
                </c:pt>
                <c:pt idx="4">
                  <c:v>688</c:v>
                </c:pt>
                <c:pt idx="5">
                  <c:v>281</c:v>
                </c:pt>
                <c:pt idx="6">
                  <c:v>547</c:v>
                </c:pt>
                <c:pt idx="7">
                  <c:v>1100</c:v>
                </c:pt>
                <c:pt idx="8">
                  <c:v>758</c:v>
                </c:pt>
                <c:pt idx="9">
                  <c:v>313</c:v>
                </c:pt>
                <c:pt idx="10">
                  <c:v>1914</c:v>
                </c:pt>
              </c:numCache>
            </c:numRef>
          </c:val>
          <c:extLst>
            <c:ext xmlns:c16="http://schemas.microsoft.com/office/drawing/2014/chart" uri="{C3380CC4-5D6E-409C-BE32-E72D297353CC}">
              <c16:uniqueId val="{00000016-D411-4E4F-B48A-FD38C3392AE8}"/>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692445622515008"/>
          <c:y val="0.22322058873289441"/>
          <c:w val="0.31307571607896839"/>
          <c:h val="0.7161851845457132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Project.xlsx]date!PivotTable3</c:name>
    <c:fmtId val="4"/>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0" i="0" u="none" strike="noStrike" baseline="0"/>
              <a:t>Daily Marketing Performance Analysis</a:t>
            </a:r>
          </a:p>
          <a:p>
            <a:pPr>
              <a:defRPr>
                <a:solidFill>
                  <a:srgbClr val="002060"/>
                </a:solidFill>
              </a:defRPr>
            </a:pP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date!$B$6</c:f>
              <c:strCache>
                <c:ptCount val="1"/>
                <c:pt idx="0">
                  <c:v>Total</c:v>
                </c:pt>
              </c:strCache>
            </c:strRef>
          </c:tx>
          <c:spPr>
            <a:ln w="28575" cap="rnd">
              <a:solidFill>
                <a:srgbClr val="002060"/>
              </a:solidFill>
              <a:round/>
            </a:ln>
            <a:effectLst/>
          </c:spPr>
          <c:marker>
            <c:symbol val="none"/>
          </c:marker>
          <c:cat>
            <c:strRef>
              <c:f>date!$A$7:$A$35</c:f>
              <c:strCache>
                <c:ptCount val="28"/>
                <c:pt idx="0">
                  <c:v>2/1/2021</c:v>
                </c:pt>
                <c:pt idx="1">
                  <c:v>2/2/2021</c:v>
                </c:pt>
                <c:pt idx="2">
                  <c:v>2/3/2021</c:v>
                </c:pt>
                <c:pt idx="3">
                  <c:v>2/4/2021</c:v>
                </c:pt>
                <c:pt idx="4">
                  <c:v>2/5/2021</c:v>
                </c:pt>
                <c:pt idx="5">
                  <c:v>2/6/2021</c:v>
                </c:pt>
                <c:pt idx="6">
                  <c:v>2/7/2021</c:v>
                </c:pt>
                <c:pt idx="7">
                  <c:v>2/8/2021</c:v>
                </c:pt>
                <c:pt idx="8">
                  <c:v>2/9/2021</c:v>
                </c:pt>
                <c:pt idx="9">
                  <c:v>2/10/2021</c:v>
                </c:pt>
                <c:pt idx="10">
                  <c:v>2/11/2021</c:v>
                </c:pt>
                <c:pt idx="11">
                  <c:v>2/12/2021</c:v>
                </c:pt>
                <c:pt idx="12">
                  <c:v>2/13/2021</c:v>
                </c:pt>
                <c:pt idx="13">
                  <c:v>2/14/2021</c:v>
                </c:pt>
                <c:pt idx="14">
                  <c:v>2/15/2021</c:v>
                </c:pt>
                <c:pt idx="15">
                  <c:v>2/16/2021</c:v>
                </c:pt>
                <c:pt idx="16">
                  <c:v>2/17/2021</c:v>
                </c:pt>
                <c:pt idx="17">
                  <c:v>2/18/2021</c:v>
                </c:pt>
                <c:pt idx="18">
                  <c:v>2/19/2021</c:v>
                </c:pt>
                <c:pt idx="19">
                  <c:v>2/20/2021</c:v>
                </c:pt>
                <c:pt idx="20">
                  <c:v>2/21/2021</c:v>
                </c:pt>
                <c:pt idx="21">
                  <c:v>2/22/2021</c:v>
                </c:pt>
                <c:pt idx="22">
                  <c:v>2/23/2021</c:v>
                </c:pt>
                <c:pt idx="23">
                  <c:v>2/24/2021</c:v>
                </c:pt>
                <c:pt idx="24">
                  <c:v>2/25/2021</c:v>
                </c:pt>
                <c:pt idx="25">
                  <c:v>2/26/2021</c:v>
                </c:pt>
                <c:pt idx="26">
                  <c:v>2/27/2021</c:v>
                </c:pt>
                <c:pt idx="27">
                  <c:v>2/28/2021</c:v>
                </c:pt>
              </c:strCache>
            </c:strRef>
          </c:cat>
          <c:val>
            <c:numRef>
              <c:f>date!$B$7:$B$35</c:f>
              <c:numCache>
                <c:formatCode>General</c:formatCode>
                <c:ptCount val="28"/>
                <c:pt idx="0">
                  <c:v>182676</c:v>
                </c:pt>
                <c:pt idx="1">
                  <c:v>316369</c:v>
                </c:pt>
                <c:pt idx="2">
                  <c:v>1583142</c:v>
                </c:pt>
                <c:pt idx="3">
                  <c:v>1633899</c:v>
                </c:pt>
                <c:pt idx="4">
                  <c:v>2704723</c:v>
                </c:pt>
                <c:pt idx="5">
                  <c:v>416199</c:v>
                </c:pt>
                <c:pt idx="6">
                  <c:v>434647</c:v>
                </c:pt>
                <c:pt idx="7">
                  <c:v>308655</c:v>
                </c:pt>
                <c:pt idx="8">
                  <c:v>437923</c:v>
                </c:pt>
                <c:pt idx="9">
                  <c:v>811363</c:v>
                </c:pt>
                <c:pt idx="10">
                  <c:v>1563209</c:v>
                </c:pt>
                <c:pt idx="11">
                  <c:v>1657464</c:v>
                </c:pt>
                <c:pt idx="12">
                  <c:v>2802893</c:v>
                </c:pt>
                <c:pt idx="13">
                  <c:v>2197128</c:v>
                </c:pt>
                <c:pt idx="14">
                  <c:v>2795172</c:v>
                </c:pt>
                <c:pt idx="15">
                  <c:v>3620594</c:v>
                </c:pt>
                <c:pt idx="16">
                  <c:v>4139131</c:v>
                </c:pt>
                <c:pt idx="17">
                  <c:v>2659560</c:v>
                </c:pt>
                <c:pt idx="18">
                  <c:v>4973240</c:v>
                </c:pt>
                <c:pt idx="19">
                  <c:v>5261521</c:v>
                </c:pt>
                <c:pt idx="20">
                  <c:v>436892</c:v>
                </c:pt>
                <c:pt idx="21">
                  <c:v>893154</c:v>
                </c:pt>
                <c:pt idx="22">
                  <c:v>162649</c:v>
                </c:pt>
                <c:pt idx="23">
                  <c:v>440159</c:v>
                </c:pt>
                <c:pt idx="24">
                  <c:v>99303</c:v>
                </c:pt>
                <c:pt idx="25">
                  <c:v>238748</c:v>
                </c:pt>
                <c:pt idx="26">
                  <c:v>42789</c:v>
                </c:pt>
                <c:pt idx="27">
                  <c:v>76164</c:v>
                </c:pt>
              </c:numCache>
            </c:numRef>
          </c:val>
          <c:smooth val="0"/>
          <c:extLst>
            <c:ext xmlns:c16="http://schemas.microsoft.com/office/drawing/2014/chart" uri="{C3380CC4-5D6E-409C-BE32-E72D297353CC}">
              <c16:uniqueId val="{00000000-0083-46C1-B0C5-0208E2C7A513}"/>
            </c:ext>
          </c:extLst>
        </c:ser>
        <c:dLbls>
          <c:showLegendKey val="0"/>
          <c:showVal val="0"/>
          <c:showCatName val="0"/>
          <c:showSerName val="0"/>
          <c:showPercent val="0"/>
          <c:showBubbleSize val="0"/>
        </c:dLbls>
        <c:smooth val="0"/>
        <c:axId val="710778656"/>
        <c:axId val="411706016"/>
      </c:lineChart>
      <c:catAx>
        <c:axId val="71077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11706016"/>
        <c:crosses val="autoZero"/>
        <c:auto val="1"/>
        <c:lblAlgn val="ctr"/>
        <c:lblOffset val="100"/>
        <c:noMultiLvlLbl val="0"/>
      </c:catAx>
      <c:valAx>
        <c:axId val="41170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71077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Project.xlsx]Datetype!PivotTable4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2060"/>
                </a:solidFill>
              </a:rPr>
              <a:t>Average Revenue: Weekday vs Weekend</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2060"/>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48854315624834"/>
                  <c:h val="0.17846515465979845"/>
                </c:manualLayout>
              </c15:layout>
            </c:ext>
          </c:extLst>
        </c:dLbl>
      </c:pivotFmt>
      <c:pivotFmt>
        <c:idx val="14"/>
        <c:spPr>
          <a:solidFill>
            <a:schemeClr val="accent1"/>
          </a:solidFill>
          <a:ln>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66803702652703"/>
                  <c:h val="0.18313532309475511"/>
                </c:manualLayout>
              </c15:layout>
            </c:ext>
          </c:extLst>
        </c:dLbl>
      </c:pivotFmt>
      <c:pivotFmt>
        <c:idx val="1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Datetype!$B$3</c:f>
              <c:strCache>
                <c:ptCount val="1"/>
                <c:pt idx="0">
                  <c:v>Average of revenue</c:v>
                </c:pt>
              </c:strCache>
            </c:strRef>
          </c:tx>
          <c:dPt>
            <c:idx val="0"/>
            <c:bubble3D val="0"/>
            <c:spPr>
              <a:solidFill>
                <a:srgbClr val="002060"/>
              </a:solidFill>
              <a:ln>
                <a:noFill/>
              </a:ln>
              <a:effectLst/>
            </c:spPr>
            <c:extLst>
              <c:ext xmlns:c16="http://schemas.microsoft.com/office/drawing/2014/chart" uri="{C3380CC4-5D6E-409C-BE32-E72D297353CC}">
                <c16:uniqueId val="{00000001-198B-4BC7-9300-5F2373909B71}"/>
              </c:ext>
            </c:extLst>
          </c:dPt>
          <c:dPt>
            <c:idx val="1"/>
            <c:bubble3D val="0"/>
            <c:spPr>
              <a:solidFill>
                <a:schemeClr val="accent2"/>
              </a:solidFill>
              <a:ln>
                <a:noFill/>
              </a:ln>
              <a:effectLst/>
            </c:spPr>
            <c:extLst>
              <c:ext xmlns:c16="http://schemas.microsoft.com/office/drawing/2014/chart" uri="{C3380CC4-5D6E-409C-BE32-E72D297353CC}">
                <c16:uniqueId val="{00000003-198B-4BC7-9300-5F2373909B71}"/>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348854315624834"/>
                      <c:h val="0.17846515465979845"/>
                    </c:manualLayout>
                  </c15:layout>
                </c:ext>
                <c:ext xmlns:c16="http://schemas.microsoft.com/office/drawing/2014/chart" uri="{C3380CC4-5D6E-409C-BE32-E72D297353CC}">
                  <c16:uniqueId val="{00000001-198B-4BC7-9300-5F2373909B71}"/>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66803702652703"/>
                      <c:h val="0.18313532309475511"/>
                    </c:manualLayout>
                  </c15:layout>
                </c:ext>
                <c:ext xmlns:c16="http://schemas.microsoft.com/office/drawing/2014/chart" uri="{C3380CC4-5D6E-409C-BE32-E72D297353CC}">
                  <c16:uniqueId val="{00000003-198B-4BC7-9300-5F2373909B7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Datetype!$B$4:$B$6</c:f>
              <c:numCache>
                <c:formatCode>General</c:formatCode>
                <c:ptCount val="2"/>
                <c:pt idx="0">
                  <c:v>141914.24090909091</c:v>
                </c:pt>
                <c:pt idx="1">
                  <c:v>132593.55681818182</c:v>
                </c:pt>
              </c:numCache>
            </c:numRef>
          </c:val>
          <c:extLst>
            <c:ext xmlns:c16="http://schemas.microsoft.com/office/drawing/2014/chart" uri="{C3380CC4-5D6E-409C-BE32-E72D297353CC}">
              <c16:uniqueId val="{00000004-198B-4BC7-9300-5F2373909B71}"/>
            </c:ext>
          </c:extLst>
        </c:ser>
        <c:ser>
          <c:idx val="1"/>
          <c:order val="1"/>
          <c:tx>
            <c:strRef>
              <c:f>Datetype!$C$3</c:f>
              <c:strCache>
                <c:ptCount val="1"/>
                <c:pt idx="0">
                  <c:v>Sum of orders</c:v>
                </c:pt>
              </c:strCache>
            </c:strRef>
          </c:tx>
          <c:dPt>
            <c:idx val="0"/>
            <c:bubble3D val="0"/>
            <c:spPr>
              <a:solidFill>
                <a:schemeClr val="accent1"/>
              </a:solidFill>
              <a:ln>
                <a:noFill/>
              </a:ln>
              <a:effectLst/>
            </c:spPr>
            <c:extLst>
              <c:ext xmlns:c16="http://schemas.microsoft.com/office/drawing/2014/chart" uri="{C3380CC4-5D6E-409C-BE32-E72D297353CC}">
                <c16:uniqueId val="{00000006-198B-4BC7-9300-5F2373909B71}"/>
              </c:ext>
            </c:extLst>
          </c:dPt>
          <c:dPt>
            <c:idx val="1"/>
            <c:bubble3D val="0"/>
            <c:spPr>
              <a:solidFill>
                <a:schemeClr val="accent2"/>
              </a:solidFill>
              <a:ln>
                <a:noFill/>
              </a:ln>
              <a:effectLst/>
            </c:spPr>
            <c:extLst>
              <c:ext xmlns:c16="http://schemas.microsoft.com/office/drawing/2014/chart" uri="{C3380CC4-5D6E-409C-BE32-E72D297353CC}">
                <c16:uniqueId val="{00000008-198B-4BC7-9300-5F2373909B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Datetype!$C$4:$C$6</c:f>
              <c:numCache>
                <c:formatCode>General</c:formatCode>
                <c:ptCount val="2"/>
                <c:pt idx="0">
                  <c:v>5763</c:v>
                </c:pt>
                <c:pt idx="1">
                  <c:v>2280</c:v>
                </c:pt>
              </c:numCache>
            </c:numRef>
          </c:val>
          <c:extLst>
            <c:ext xmlns:c16="http://schemas.microsoft.com/office/drawing/2014/chart" uri="{C3380CC4-5D6E-409C-BE32-E72D297353CC}">
              <c16:uniqueId val="{00000009-198B-4BC7-9300-5F2373909B71}"/>
            </c:ext>
          </c:extLst>
        </c:ser>
        <c:ser>
          <c:idx val="2"/>
          <c:order val="2"/>
          <c:tx>
            <c:strRef>
              <c:f>Datetype!$D$3</c:f>
              <c:strCache>
                <c:ptCount val="1"/>
                <c:pt idx="0">
                  <c:v>Sum of clicks</c:v>
                </c:pt>
              </c:strCache>
            </c:strRef>
          </c:tx>
          <c:dPt>
            <c:idx val="0"/>
            <c:bubble3D val="0"/>
            <c:spPr>
              <a:solidFill>
                <a:schemeClr val="accent1"/>
              </a:solidFill>
              <a:ln>
                <a:noFill/>
              </a:ln>
              <a:effectLst/>
            </c:spPr>
            <c:extLst>
              <c:ext xmlns:c16="http://schemas.microsoft.com/office/drawing/2014/chart" uri="{C3380CC4-5D6E-409C-BE32-E72D297353CC}">
                <c16:uniqueId val="{0000000B-198B-4BC7-9300-5F2373909B71}"/>
              </c:ext>
            </c:extLst>
          </c:dPt>
          <c:dPt>
            <c:idx val="1"/>
            <c:bubble3D val="0"/>
            <c:spPr>
              <a:solidFill>
                <a:schemeClr val="accent2"/>
              </a:solidFill>
              <a:ln>
                <a:noFill/>
              </a:ln>
              <a:effectLst/>
            </c:spPr>
            <c:extLst>
              <c:ext xmlns:c16="http://schemas.microsoft.com/office/drawing/2014/chart" uri="{C3380CC4-5D6E-409C-BE32-E72D297353CC}">
                <c16:uniqueId val="{0000000D-198B-4BC7-9300-5F2373909B7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Datetype!$A$4:$A$6</c:f>
              <c:strCache>
                <c:ptCount val="2"/>
                <c:pt idx="0">
                  <c:v>Weekday</c:v>
                </c:pt>
                <c:pt idx="1">
                  <c:v>Weekend</c:v>
                </c:pt>
              </c:strCache>
            </c:strRef>
          </c:cat>
          <c:val>
            <c:numRef>
              <c:f>Datetype!$D$4:$D$6</c:f>
              <c:numCache>
                <c:formatCode>General</c:formatCode>
                <c:ptCount val="2"/>
                <c:pt idx="0">
                  <c:v>2210913</c:v>
                </c:pt>
                <c:pt idx="1">
                  <c:v>789006</c:v>
                </c:pt>
              </c:numCache>
            </c:numRef>
          </c:val>
          <c:extLst>
            <c:ext xmlns:c16="http://schemas.microsoft.com/office/drawing/2014/chart" uri="{C3380CC4-5D6E-409C-BE32-E72D297353CC}">
              <c16:uniqueId val="{0000000E-198B-4BC7-9300-5F2373909B7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Project.xlsx]Catergory!PivotTable5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rgbClr val="002060"/>
                </a:solidFill>
              </a:rPr>
              <a:t>Marketing Performance by Campaign Category</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0034180035579"/>
          <c:y val="0.25083333333333335"/>
          <c:w val="0.51575888844401785"/>
          <c:h val="0.64831911636045492"/>
        </c:manualLayout>
      </c:layout>
      <c:barChart>
        <c:barDir val="col"/>
        <c:grouping val="clustered"/>
        <c:varyColors val="0"/>
        <c:ser>
          <c:idx val="0"/>
          <c:order val="0"/>
          <c:tx>
            <c:strRef>
              <c:f>Catergory!$B$5</c:f>
              <c:strCache>
                <c:ptCount val="1"/>
                <c:pt idx="0">
                  <c:v>Sum of revenue</c:v>
                </c:pt>
              </c:strCache>
            </c:strRef>
          </c:tx>
          <c:spPr>
            <a:solidFill>
              <a:srgbClr val="002060"/>
            </a:solidFill>
            <a:ln>
              <a:noFill/>
            </a:ln>
            <a:effectLst/>
          </c:spPr>
          <c:invertIfNegative val="0"/>
          <c:cat>
            <c:strRef>
              <c:f>Catergory!$A$6:$A$10</c:f>
              <c:strCache>
                <c:ptCount val="4"/>
                <c:pt idx="0">
                  <c:v>influencer</c:v>
                </c:pt>
                <c:pt idx="1">
                  <c:v>media</c:v>
                </c:pt>
                <c:pt idx="2">
                  <c:v>search</c:v>
                </c:pt>
                <c:pt idx="3">
                  <c:v>social</c:v>
                </c:pt>
              </c:strCache>
            </c:strRef>
          </c:cat>
          <c:val>
            <c:numRef>
              <c:f>Catergory!$B$6:$B$10</c:f>
              <c:numCache>
                <c:formatCode>General</c:formatCode>
                <c:ptCount val="4"/>
                <c:pt idx="0">
                  <c:v>21119887</c:v>
                </c:pt>
                <c:pt idx="1">
                  <c:v>6152960</c:v>
                </c:pt>
                <c:pt idx="2">
                  <c:v>3705065</c:v>
                </c:pt>
                <c:pt idx="3">
                  <c:v>11911454</c:v>
                </c:pt>
              </c:numCache>
            </c:numRef>
          </c:val>
          <c:extLst>
            <c:ext xmlns:c16="http://schemas.microsoft.com/office/drawing/2014/chart" uri="{C3380CC4-5D6E-409C-BE32-E72D297353CC}">
              <c16:uniqueId val="{00000000-4AD6-4B71-A440-D6DCEA04E200}"/>
            </c:ext>
          </c:extLst>
        </c:ser>
        <c:ser>
          <c:idx val="1"/>
          <c:order val="1"/>
          <c:tx>
            <c:strRef>
              <c:f>Catergory!$C$5</c:f>
              <c:strCache>
                <c:ptCount val="1"/>
                <c:pt idx="0">
                  <c:v>Sum of mark_spent</c:v>
                </c:pt>
              </c:strCache>
            </c:strRef>
          </c:tx>
          <c:spPr>
            <a:solidFill>
              <a:schemeClr val="accent2"/>
            </a:solidFill>
            <a:ln>
              <a:noFill/>
            </a:ln>
            <a:effectLst/>
          </c:spPr>
          <c:invertIfNegative val="0"/>
          <c:cat>
            <c:strRef>
              <c:f>Catergory!$A$6:$A$10</c:f>
              <c:strCache>
                <c:ptCount val="4"/>
                <c:pt idx="0">
                  <c:v>influencer</c:v>
                </c:pt>
                <c:pt idx="1">
                  <c:v>media</c:v>
                </c:pt>
                <c:pt idx="2">
                  <c:v>search</c:v>
                </c:pt>
                <c:pt idx="3">
                  <c:v>social</c:v>
                </c:pt>
              </c:strCache>
            </c:strRef>
          </c:cat>
          <c:val>
            <c:numRef>
              <c:f>Catergory!$C$6:$C$10</c:f>
              <c:numCache>
                <c:formatCode>General</c:formatCode>
                <c:ptCount val="4"/>
                <c:pt idx="0">
                  <c:v>8305304.080000001</c:v>
                </c:pt>
                <c:pt idx="1">
                  <c:v>5026674.7600000007</c:v>
                </c:pt>
                <c:pt idx="2">
                  <c:v>3460400.0700000008</c:v>
                </c:pt>
                <c:pt idx="3">
                  <c:v>13798500.909999993</c:v>
                </c:pt>
              </c:numCache>
            </c:numRef>
          </c:val>
          <c:extLst>
            <c:ext xmlns:c16="http://schemas.microsoft.com/office/drawing/2014/chart" uri="{C3380CC4-5D6E-409C-BE32-E72D297353CC}">
              <c16:uniqueId val="{00000001-4AD6-4B71-A440-D6DCEA04E200}"/>
            </c:ext>
          </c:extLst>
        </c:ser>
        <c:ser>
          <c:idx val="2"/>
          <c:order val="2"/>
          <c:tx>
            <c:strRef>
              <c:f>Catergory!$D$5</c:f>
              <c:strCache>
                <c:ptCount val="1"/>
                <c:pt idx="0">
                  <c:v>Sum of orders</c:v>
                </c:pt>
              </c:strCache>
            </c:strRef>
          </c:tx>
          <c:spPr>
            <a:solidFill>
              <a:schemeClr val="tx1"/>
            </a:solidFill>
            <a:ln>
              <a:noFill/>
            </a:ln>
            <a:effectLst/>
          </c:spPr>
          <c:invertIfNegative val="0"/>
          <c:cat>
            <c:strRef>
              <c:f>Catergory!$A$6:$A$10</c:f>
              <c:strCache>
                <c:ptCount val="4"/>
                <c:pt idx="0">
                  <c:v>influencer</c:v>
                </c:pt>
                <c:pt idx="1">
                  <c:v>media</c:v>
                </c:pt>
                <c:pt idx="2">
                  <c:v>search</c:v>
                </c:pt>
                <c:pt idx="3">
                  <c:v>social</c:v>
                </c:pt>
              </c:strCache>
            </c:strRef>
          </c:cat>
          <c:val>
            <c:numRef>
              <c:f>Catergory!$D$6:$D$10</c:f>
              <c:numCache>
                <c:formatCode>General</c:formatCode>
                <c:ptCount val="4"/>
                <c:pt idx="0">
                  <c:v>3014</c:v>
                </c:pt>
                <c:pt idx="1">
                  <c:v>1566</c:v>
                </c:pt>
                <c:pt idx="2">
                  <c:v>828</c:v>
                </c:pt>
                <c:pt idx="3">
                  <c:v>2635</c:v>
                </c:pt>
              </c:numCache>
            </c:numRef>
          </c:val>
          <c:extLst>
            <c:ext xmlns:c16="http://schemas.microsoft.com/office/drawing/2014/chart" uri="{C3380CC4-5D6E-409C-BE32-E72D297353CC}">
              <c16:uniqueId val="{00000002-4AD6-4B71-A440-D6DCEA04E200}"/>
            </c:ext>
          </c:extLst>
        </c:ser>
        <c:ser>
          <c:idx val="3"/>
          <c:order val="3"/>
          <c:tx>
            <c:strRef>
              <c:f>Catergory!$E$5</c:f>
              <c:strCache>
                <c:ptCount val="1"/>
                <c:pt idx="0">
                  <c:v>Sum of Gross_Profit</c:v>
                </c:pt>
              </c:strCache>
            </c:strRef>
          </c:tx>
          <c:spPr>
            <a:solidFill>
              <a:schemeClr val="accent4"/>
            </a:solidFill>
            <a:ln>
              <a:noFill/>
            </a:ln>
            <a:effectLst/>
          </c:spPr>
          <c:invertIfNegative val="0"/>
          <c:cat>
            <c:strRef>
              <c:f>Catergory!$A$6:$A$10</c:f>
              <c:strCache>
                <c:ptCount val="4"/>
                <c:pt idx="0">
                  <c:v>influencer</c:v>
                </c:pt>
                <c:pt idx="1">
                  <c:v>media</c:v>
                </c:pt>
                <c:pt idx="2">
                  <c:v>search</c:v>
                </c:pt>
                <c:pt idx="3">
                  <c:v>social</c:v>
                </c:pt>
              </c:strCache>
            </c:strRef>
          </c:cat>
          <c:val>
            <c:numRef>
              <c:f>Catergory!$E$6:$E$10</c:f>
              <c:numCache>
                <c:formatCode>General</c:formatCode>
                <c:ptCount val="4"/>
                <c:pt idx="0">
                  <c:v>12814582.92</c:v>
                </c:pt>
                <c:pt idx="1">
                  <c:v>1126285.2400000002</c:v>
                </c:pt>
                <c:pt idx="2">
                  <c:v>244664.93</c:v>
                </c:pt>
                <c:pt idx="3">
                  <c:v>-1887046.9099999992</c:v>
                </c:pt>
              </c:numCache>
            </c:numRef>
          </c:val>
          <c:extLst>
            <c:ext xmlns:c16="http://schemas.microsoft.com/office/drawing/2014/chart" uri="{C3380CC4-5D6E-409C-BE32-E72D297353CC}">
              <c16:uniqueId val="{00000003-4AD6-4B71-A440-D6DCEA04E200}"/>
            </c:ext>
          </c:extLst>
        </c:ser>
        <c:dLbls>
          <c:showLegendKey val="0"/>
          <c:showVal val="0"/>
          <c:showCatName val="0"/>
          <c:showSerName val="0"/>
          <c:showPercent val="0"/>
          <c:showBubbleSize val="0"/>
        </c:dLbls>
        <c:gapWidth val="219"/>
        <c:overlap val="-27"/>
        <c:axId val="1169392992"/>
        <c:axId val="1044529280"/>
      </c:barChart>
      <c:catAx>
        <c:axId val="11693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044529280"/>
        <c:crosses val="autoZero"/>
        <c:auto val="1"/>
        <c:lblAlgn val="ctr"/>
        <c:lblOffset val="100"/>
        <c:noMultiLvlLbl val="0"/>
      </c:catAx>
      <c:valAx>
        <c:axId val="104452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1693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Project.xlsx]Tier!PivotTable6</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0" i="0" u="none" strike="noStrike" baseline="0">
                <a:solidFill>
                  <a:srgbClr val="002060"/>
                </a:solidFill>
              </a:rPr>
              <a:t>Revenue by Campaign Tier</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3635121817952"/>
          <c:y val="0.20665090143583589"/>
          <c:w val="0.7292980071302162"/>
          <c:h val="0.6234927509934407"/>
        </c:manualLayout>
      </c:layout>
      <c:barChart>
        <c:barDir val="col"/>
        <c:grouping val="clustered"/>
        <c:varyColors val="0"/>
        <c:ser>
          <c:idx val="0"/>
          <c:order val="0"/>
          <c:tx>
            <c:strRef>
              <c:f>Tier!$B$5</c:f>
              <c:strCache>
                <c:ptCount val="1"/>
                <c:pt idx="0">
                  <c:v>Sum of revenue</c:v>
                </c:pt>
              </c:strCache>
            </c:strRef>
          </c:tx>
          <c:spPr>
            <a:solidFill>
              <a:srgbClr val="002060"/>
            </a:solidFill>
            <a:ln>
              <a:noFill/>
            </a:ln>
            <a:effectLst/>
          </c:spPr>
          <c:invertIfNegative val="0"/>
          <c:cat>
            <c:strRef>
              <c:f>Tier!$A$6:$A$9</c:f>
              <c:strCache>
                <c:ptCount val="3"/>
                <c:pt idx="0">
                  <c:v>Other</c:v>
                </c:pt>
                <c:pt idx="1">
                  <c:v>Tier 1</c:v>
                </c:pt>
                <c:pt idx="2">
                  <c:v>Tier 2</c:v>
                </c:pt>
              </c:strCache>
            </c:strRef>
          </c:cat>
          <c:val>
            <c:numRef>
              <c:f>Tier!$B$6:$B$9</c:f>
              <c:numCache>
                <c:formatCode>General</c:formatCode>
                <c:ptCount val="3"/>
                <c:pt idx="0">
                  <c:v>31815064</c:v>
                </c:pt>
                <c:pt idx="1">
                  <c:v>6940536</c:v>
                </c:pt>
                <c:pt idx="2">
                  <c:v>4133766</c:v>
                </c:pt>
              </c:numCache>
            </c:numRef>
          </c:val>
          <c:extLst>
            <c:ext xmlns:c16="http://schemas.microsoft.com/office/drawing/2014/chart" uri="{C3380CC4-5D6E-409C-BE32-E72D297353CC}">
              <c16:uniqueId val="{00000000-CD28-4C4E-B9CE-895F2DBA7C3C}"/>
            </c:ext>
          </c:extLst>
        </c:ser>
        <c:ser>
          <c:idx val="1"/>
          <c:order val="1"/>
          <c:tx>
            <c:strRef>
              <c:f>Tier!$C$5</c:f>
              <c:strCache>
                <c:ptCount val="1"/>
                <c:pt idx="0">
                  <c:v>Sum of mark_spent</c:v>
                </c:pt>
              </c:strCache>
            </c:strRef>
          </c:tx>
          <c:spPr>
            <a:solidFill>
              <a:schemeClr val="bg1"/>
            </a:solidFill>
            <a:ln>
              <a:noFill/>
            </a:ln>
            <a:effectLst/>
          </c:spPr>
          <c:invertIfNegative val="0"/>
          <c:cat>
            <c:strRef>
              <c:f>Tier!$A$6:$A$9</c:f>
              <c:strCache>
                <c:ptCount val="3"/>
                <c:pt idx="0">
                  <c:v>Other</c:v>
                </c:pt>
                <c:pt idx="1">
                  <c:v>Tier 1</c:v>
                </c:pt>
                <c:pt idx="2">
                  <c:v>Tier 2</c:v>
                </c:pt>
              </c:strCache>
            </c:strRef>
          </c:cat>
          <c:val>
            <c:numRef>
              <c:f>Tier!$C$6:$C$9</c:f>
              <c:numCache>
                <c:formatCode>General</c:formatCode>
                <c:ptCount val="3"/>
                <c:pt idx="0">
                  <c:v>19700784.370000001</c:v>
                </c:pt>
                <c:pt idx="1">
                  <c:v>5130070.7300000023</c:v>
                </c:pt>
                <c:pt idx="2">
                  <c:v>5760024.7200000016</c:v>
                </c:pt>
              </c:numCache>
            </c:numRef>
          </c:val>
          <c:extLst>
            <c:ext xmlns:c16="http://schemas.microsoft.com/office/drawing/2014/chart" uri="{C3380CC4-5D6E-409C-BE32-E72D297353CC}">
              <c16:uniqueId val="{00000001-CD28-4C4E-B9CE-895F2DBA7C3C}"/>
            </c:ext>
          </c:extLst>
        </c:ser>
        <c:dLbls>
          <c:showLegendKey val="0"/>
          <c:showVal val="0"/>
          <c:showCatName val="0"/>
          <c:showSerName val="0"/>
          <c:showPercent val="0"/>
          <c:showBubbleSize val="0"/>
        </c:dLbls>
        <c:gapWidth val="219"/>
        <c:overlap val="-27"/>
        <c:axId val="803039408"/>
        <c:axId val="687342208"/>
      </c:barChart>
      <c:catAx>
        <c:axId val="8030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687342208"/>
        <c:crosses val="autoZero"/>
        <c:auto val="1"/>
        <c:lblAlgn val="ctr"/>
        <c:lblOffset val="100"/>
        <c:noMultiLvlLbl val="0"/>
      </c:catAx>
      <c:valAx>
        <c:axId val="687342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80303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Project.xlsx]Sheet2!PivotTable1</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400" b="0" i="0" u="none" strike="noStrike" baseline="0">
                <a:solidFill>
                  <a:srgbClr val="002060"/>
                </a:solidFill>
              </a:rPr>
              <a:t>Campaign Conversion Rate Analysis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Average of Conversion_1</c:v>
                </c:pt>
              </c:strCache>
            </c:strRef>
          </c:tx>
          <c:spPr>
            <a:solidFill>
              <a:schemeClr val="bg1"/>
            </a:solidFill>
            <a:ln>
              <a:noFill/>
            </a:ln>
            <a:effectLst/>
          </c:spPr>
          <c:invertIfNegative val="0"/>
          <c:cat>
            <c:strRef>
              <c:f>Sheet2!$A$4:$A$15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Sheet2!$B$4:$B$15</c:f>
              <c:numCache>
                <c:formatCode>0%</c:formatCode>
                <c:ptCount val="11"/>
                <c:pt idx="0">
                  <c:v>2.2150005855341392E-2</c:v>
                </c:pt>
                <c:pt idx="1">
                  <c:v>1.6921552995712512E-2</c:v>
                </c:pt>
                <c:pt idx="2">
                  <c:v>1.8000437214540359E-2</c:v>
                </c:pt>
                <c:pt idx="3">
                  <c:v>2.0717642754987577E-2</c:v>
                </c:pt>
                <c:pt idx="4">
                  <c:v>2.4447544782113705E-2</c:v>
                </c:pt>
                <c:pt idx="5">
                  <c:v>2.0072598771871931E-2</c:v>
                </c:pt>
                <c:pt idx="6">
                  <c:v>2.0798525062348579E-2</c:v>
                </c:pt>
                <c:pt idx="7">
                  <c:v>2.3151802073023676E-2</c:v>
                </c:pt>
                <c:pt idx="8">
                  <c:v>1.9936571505835488E-2</c:v>
                </c:pt>
                <c:pt idx="9">
                  <c:v>2.1014516578772739E-2</c:v>
                </c:pt>
                <c:pt idx="10">
                  <c:v>2.3033150837146722E-2</c:v>
                </c:pt>
              </c:numCache>
            </c:numRef>
          </c:val>
          <c:extLst>
            <c:ext xmlns:c16="http://schemas.microsoft.com/office/drawing/2014/chart" uri="{C3380CC4-5D6E-409C-BE32-E72D297353CC}">
              <c16:uniqueId val="{00000000-4D0D-4F53-B6B1-1C448411F7B8}"/>
            </c:ext>
          </c:extLst>
        </c:ser>
        <c:ser>
          <c:idx val="1"/>
          <c:order val="1"/>
          <c:tx>
            <c:strRef>
              <c:f>Sheet2!$C$3</c:f>
              <c:strCache>
                <c:ptCount val="1"/>
                <c:pt idx="0">
                  <c:v>Average of Conversion_2</c:v>
                </c:pt>
              </c:strCache>
            </c:strRef>
          </c:tx>
          <c:spPr>
            <a:solidFill>
              <a:srgbClr val="002060"/>
            </a:solidFill>
            <a:ln>
              <a:noFill/>
            </a:ln>
            <a:effectLst/>
          </c:spPr>
          <c:invertIfNegative val="0"/>
          <c:cat>
            <c:strRef>
              <c:f>Sheet2!$A$4:$A$15</c:f>
              <c:strCache>
                <c:ptCount val="11"/>
                <c:pt idx="0">
                  <c:v>banner_partner</c:v>
                </c:pt>
                <c:pt idx="1">
                  <c:v>facebook_lal</c:v>
                </c:pt>
                <c:pt idx="2">
                  <c:v>facebook_retargeting</c:v>
                </c:pt>
                <c:pt idx="3">
                  <c:v>facebook_tier1</c:v>
                </c:pt>
                <c:pt idx="4">
                  <c:v>facebook_tier2</c:v>
                </c:pt>
                <c:pt idx="5">
                  <c:v>google_hot</c:v>
                </c:pt>
                <c:pt idx="6">
                  <c:v>google_wide</c:v>
                </c:pt>
                <c:pt idx="7">
                  <c:v>instagram_blogger</c:v>
                </c:pt>
                <c:pt idx="8">
                  <c:v>instagram_tier1</c:v>
                </c:pt>
                <c:pt idx="9">
                  <c:v>instagram_tier2</c:v>
                </c:pt>
                <c:pt idx="10">
                  <c:v>youtube_blogger</c:v>
                </c:pt>
              </c:strCache>
            </c:strRef>
          </c:cat>
          <c:val>
            <c:numRef>
              <c:f>Sheet2!$C$4:$C$15</c:f>
              <c:numCache>
                <c:formatCode>0%</c:formatCode>
                <c:ptCount val="11"/>
                <c:pt idx="0">
                  <c:v>0.14603304880179757</c:v>
                </c:pt>
                <c:pt idx="1">
                  <c:v>0.15285342885198519</c:v>
                </c:pt>
                <c:pt idx="2">
                  <c:v>0.204066148081994</c:v>
                </c:pt>
                <c:pt idx="3">
                  <c:v>0.12117711724434001</c:v>
                </c:pt>
                <c:pt idx="4">
                  <c:v>8.1515640910223938E-2</c:v>
                </c:pt>
                <c:pt idx="5">
                  <c:v>0.1361514380242192</c:v>
                </c:pt>
                <c:pt idx="6">
                  <c:v>9.3494305206137773E-2</c:v>
                </c:pt>
                <c:pt idx="7">
                  <c:v>0.1520560283194218</c:v>
                </c:pt>
                <c:pt idx="8">
                  <c:v>0.10728768084489329</c:v>
                </c:pt>
                <c:pt idx="9">
                  <c:v>2.6324487727243266E-2</c:v>
                </c:pt>
                <c:pt idx="10">
                  <c:v>0.19846001742621092</c:v>
                </c:pt>
              </c:numCache>
            </c:numRef>
          </c:val>
          <c:extLst>
            <c:ext xmlns:c16="http://schemas.microsoft.com/office/drawing/2014/chart" uri="{C3380CC4-5D6E-409C-BE32-E72D297353CC}">
              <c16:uniqueId val="{00000001-4D0D-4F53-B6B1-1C448411F7B8}"/>
            </c:ext>
          </c:extLst>
        </c:ser>
        <c:dLbls>
          <c:showLegendKey val="0"/>
          <c:showVal val="0"/>
          <c:showCatName val="0"/>
          <c:showSerName val="0"/>
          <c:showPercent val="0"/>
          <c:showBubbleSize val="0"/>
        </c:dLbls>
        <c:gapWidth val="182"/>
        <c:axId val="2050530848"/>
        <c:axId val="1935163552"/>
      </c:barChart>
      <c:catAx>
        <c:axId val="205053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935163552"/>
        <c:crosses val="autoZero"/>
        <c:auto val="1"/>
        <c:lblAlgn val="ctr"/>
        <c:lblOffset val="100"/>
        <c:noMultiLvlLbl val="0"/>
      </c:catAx>
      <c:valAx>
        <c:axId val="1935163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205053084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247650</xdr:colOff>
      <xdr:row>5</xdr:row>
      <xdr:rowOff>185737</xdr:rowOff>
    </xdr:from>
    <xdr:to>
      <xdr:col>7</xdr:col>
      <xdr:colOff>342900</xdr:colOff>
      <xdr:row>18</xdr:row>
      <xdr:rowOff>114300</xdr:rowOff>
    </xdr:to>
    <xdr:graphicFrame macro="">
      <xdr:nvGraphicFramePr>
        <xdr:cNvPr id="2" name="Chart 1">
          <a:extLst>
            <a:ext uri="{FF2B5EF4-FFF2-40B4-BE49-F238E27FC236}">
              <a16:creationId xmlns:a16="http://schemas.microsoft.com/office/drawing/2014/main" id="{E9FE7E33-5440-DEA7-7D8D-E943E6BCA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304801</xdr:colOff>
      <xdr:row>3</xdr:row>
      <xdr:rowOff>109537</xdr:rowOff>
    </xdr:from>
    <xdr:to>
      <xdr:col>6</xdr:col>
      <xdr:colOff>504826</xdr:colOff>
      <xdr:row>13</xdr:row>
      <xdr:rowOff>0</xdr:rowOff>
    </xdr:to>
    <xdr:graphicFrame macro="">
      <xdr:nvGraphicFramePr>
        <xdr:cNvPr id="2" name="Chart 1">
          <a:extLst>
            <a:ext uri="{FF2B5EF4-FFF2-40B4-BE49-F238E27FC236}">
              <a16:creationId xmlns:a16="http://schemas.microsoft.com/office/drawing/2014/main" id="{2ABBE3E1-C786-47F4-0C4D-2C1432230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552449</xdr:colOff>
      <xdr:row>4</xdr:row>
      <xdr:rowOff>147638</xdr:rowOff>
    </xdr:from>
    <xdr:to>
      <xdr:col>6</xdr:col>
      <xdr:colOff>1304924</xdr:colOff>
      <xdr:row>16</xdr:row>
      <xdr:rowOff>66676</xdr:rowOff>
    </xdr:to>
    <xdr:graphicFrame macro="">
      <xdr:nvGraphicFramePr>
        <xdr:cNvPr id="2" name="Chart 1">
          <a:extLst>
            <a:ext uri="{FF2B5EF4-FFF2-40B4-BE49-F238E27FC236}">
              <a16:creationId xmlns:a16="http://schemas.microsoft.com/office/drawing/2014/main" id="{1423089C-82B5-36F3-85D2-6D5933BCF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361951</xdr:colOff>
      <xdr:row>4</xdr:row>
      <xdr:rowOff>176213</xdr:rowOff>
    </xdr:from>
    <xdr:to>
      <xdr:col>12</xdr:col>
      <xdr:colOff>47626</xdr:colOff>
      <xdr:row>16</xdr:row>
      <xdr:rowOff>114301</xdr:rowOff>
    </xdr:to>
    <xdr:graphicFrame macro="">
      <xdr:nvGraphicFramePr>
        <xdr:cNvPr id="6" name="Chart 5">
          <a:extLst>
            <a:ext uri="{FF2B5EF4-FFF2-40B4-BE49-F238E27FC236}">
              <a16:creationId xmlns:a16="http://schemas.microsoft.com/office/drawing/2014/main" id="{D0EAEAF5-34B0-0A4A-CDB0-40127FD68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285750</xdr:colOff>
      <xdr:row>10</xdr:row>
      <xdr:rowOff>109537</xdr:rowOff>
    </xdr:from>
    <xdr:to>
      <xdr:col>9</xdr:col>
      <xdr:colOff>266700</xdr:colOff>
      <xdr:row>24</xdr:row>
      <xdr:rowOff>185737</xdr:rowOff>
    </xdr:to>
    <xdr:graphicFrame macro="">
      <xdr:nvGraphicFramePr>
        <xdr:cNvPr id="3" name="Chart 2">
          <a:extLst>
            <a:ext uri="{FF2B5EF4-FFF2-40B4-BE49-F238E27FC236}">
              <a16:creationId xmlns:a16="http://schemas.microsoft.com/office/drawing/2014/main" id="{7B0830D1-E8EF-1943-60C6-056E908BC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409574</xdr:colOff>
      <xdr:row>4</xdr:row>
      <xdr:rowOff>176210</xdr:rowOff>
    </xdr:from>
    <xdr:to>
      <xdr:col>10</xdr:col>
      <xdr:colOff>419099</xdr:colOff>
      <xdr:row>16</xdr:row>
      <xdr:rowOff>76199</xdr:rowOff>
    </xdr:to>
    <xdr:graphicFrame macro="">
      <xdr:nvGraphicFramePr>
        <xdr:cNvPr id="2" name="Chart 1">
          <a:extLst>
            <a:ext uri="{FF2B5EF4-FFF2-40B4-BE49-F238E27FC236}">
              <a16:creationId xmlns:a16="http://schemas.microsoft.com/office/drawing/2014/main" id="{DA7BCF68-621B-4AE6-935B-018F9359C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161925</xdr:colOff>
      <xdr:row>5</xdr:row>
      <xdr:rowOff>138112</xdr:rowOff>
    </xdr:from>
    <xdr:to>
      <xdr:col>9</xdr:col>
      <xdr:colOff>600075</xdr:colOff>
      <xdr:row>18</xdr:row>
      <xdr:rowOff>57150</xdr:rowOff>
    </xdr:to>
    <xdr:graphicFrame macro="">
      <xdr:nvGraphicFramePr>
        <xdr:cNvPr id="2" name="Chart 1">
          <a:extLst>
            <a:ext uri="{FF2B5EF4-FFF2-40B4-BE49-F238E27FC236}">
              <a16:creationId xmlns:a16="http://schemas.microsoft.com/office/drawing/2014/main" id="{01789A52-F259-4A5C-61E3-49D2FA551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345280</xdr:colOff>
      <xdr:row>0</xdr:row>
      <xdr:rowOff>35718</xdr:rowOff>
    </xdr:from>
    <xdr:to>
      <xdr:col>18</xdr:col>
      <xdr:colOff>523875</xdr:colOff>
      <xdr:row>2</xdr:row>
      <xdr:rowOff>35720</xdr:rowOff>
    </xdr:to>
    <xdr:sp macro="" textlink="">
      <xdr:nvSpPr>
        <xdr:cNvPr id="3" name="Rectangle: Rounded Corners 2">
          <a:extLst>
            <a:ext uri="{FF2B5EF4-FFF2-40B4-BE49-F238E27FC236}">
              <a16:creationId xmlns:a16="http://schemas.microsoft.com/office/drawing/2014/main" id="{A1B4C0C5-3D05-8BDA-A952-FEE41A2184C9}"/>
            </a:ext>
          </a:extLst>
        </xdr:cNvPr>
        <xdr:cNvSpPr/>
      </xdr:nvSpPr>
      <xdr:spPr>
        <a:xfrm>
          <a:off x="3988593" y="35718"/>
          <a:ext cx="7453313" cy="38100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rgbClr val="79A6FF"/>
              </a:solidFill>
              <a:latin typeface="Arial Black" panose="020B0A04020102020204" pitchFamily="34" charset="0"/>
            </a:rPr>
            <a:t>Marketing Campaign Performance Dashboard By</a:t>
          </a:r>
          <a:r>
            <a:rPr lang="en-US" sz="1400" b="1" i="1" baseline="0">
              <a:solidFill>
                <a:srgbClr val="79A6FF"/>
              </a:solidFill>
              <a:latin typeface="Arial Black" panose="020B0A04020102020204" pitchFamily="34" charset="0"/>
            </a:rPr>
            <a:t> Igbinedion Samson</a:t>
          </a:r>
          <a:endParaRPr lang="en-US" sz="1400" b="1" i="1">
            <a:solidFill>
              <a:srgbClr val="79A6FF"/>
            </a:solidFill>
            <a:latin typeface="Arial Black" panose="020B0A04020102020204" pitchFamily="34" charset="0"/>
          </a:endParaRPr>
        </a:p>
      </xdr:txBody>
    </xdr:sp>
    <xdr:clientData/>
  </xdr:twoCellAnchor>
  <xdr:twoCellAnchor>
    <xdr:from>
      <xdr:col>11</xdr:col>
      <xdr:colOff>202406</xdr:colOff>
      <xdr:row>2</xdr:row>
      <xdr:rowOff>154780</xdr:rowOff>
    </xdr:from>
    <xdr:to>
      <xdr:col>17</xdr:col>
      <xdr:colOff>309562</xdr:colOff>
      <xdr:row>17</xdr:row>
      <xdr:rowOff>35718</xdr:rowOff>
    </xdr:to>
    <xdr:sp macro="" textlink="">
      <xdr:nvSpPr>
        <xdr:cNvPr id="4" name="Rectangle 3">
          <a:extLst>
            <a:ext uri="{FF2B5EF4-FFF2-40B4-BE49-F238E27FC236}">
              <a16:creationId xmlns:a16="http://schemas.microsoft.com/office/drawing/2014/main" id="{EFF2ABC7-C42D-4BB7-CDAB-8B222AD69C0B}"/>
            </a:ext>
          </a:extLst>
        </xdr:cNvPr>
        <xdr:cNvSpPr/>
      </xdr:nvSpPr>
      <xdr:spPr>
        <a:xfrm>
          <a:off x="6869906" y="535780"/>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211931</xdr:colOff>
      <xdr:row>17</xdr:row>
      <xdr:rowOff>104773</xdr:rowOff>
    </xdr:from>
    <xdr:to>
      <xdr:col>17</xdr:col>
      <xdr:colOff>319087</xdr:colOff>
      <xdr:row>31</xdr:row>
      <xdr:rowOff>176211</xdr:rowOff>
    </xdr:to>
    <xdr:sp macro="" textlink="">
      <xdr:nvSpPr>
        <xdr:cNvPr id="6" name="Rectangle 5">
          <a:extLst>
            <a:ext uri="{FF2B5EF4-FFF2-40B4-BE49-F238E27FC236}">
              <a16:creationId xmlns:a16="http://schemas.microsoft.com/office/drawing/2014/main" id="{79D63F2D-D4E7-4EFE-B894-C0643487280A}"/>
            </a:ext>
          </a:extLst>
        </xdr:cNvPr>
        <xdr:cNvSpPr/>
      </xdr:nvSpPr>
      <xdr:spPr>
        <a:xfrm>
          <a:off x="6879431" y="3343273"/>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340518</xdr:colOff>
      <xdr:row>2</xdr:row>
      <xdr:rowOff>150018</xdr:rowOff>
    </xdr:from>
    <xdr:to>
      <xdr:col>23</xdr:col>
      <xdr:colOff>447675</xdr:colOff>
      <xdr:row>17</xdr:row>
      <xdr:rowOff>30956</xdr:rowOff>
    </xdr:to>
    <xdr:sp macro="" textlink="">
      <xdr:nvSpPr>
        <xdr:cNvPr id="7" name="Rectangle 6">
          <a:extLst>
            <a:ext uri="{FF2B5EF4-FFF2-40B4-BE49-F238E27FC236}">
              <a16:creationId xmlns:a16="http://schemas.microsoft.com/office/drawing/2014/main" id="{74C39678-C047-44DE-AF21-CF5A03A127EC}"/>
            </a:ext>
          </a:extLst>
        </xdr:cNvPr>
        <xdr:cNvSpPr/>
      </xdr:nvSpPr>
      <xdr:spPr>
        <a:xfrm>
          <a:off x="10651331" y="531018"/>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350043</xdr:colOff>
      <xdr:row>17</xdr:row>
      <xdr:rowOff>111918</xdr:rowOff>
    </xdr:from>
    <xdr:to>
      <xdr:col>23</xdr:col>
      <xdr:colOff>457200</xdr:colOff>
      <xdr:row>31</xdr:row>
      <xdr:rowOff>183356</xdr:rowOff>
    </xdr:to>
    <xdr:sp macro="" textlink="">
      <xdr:nvSpPr>
        <xdr:cNvPr id="8" name="Rectangle 7">
          <a:extLst>
            <a:ext uri="{FF2B5EF4-FFF2-40B4-BE49-F238E27FC236}">
              <a16:creationId xmlns:a16="http://schemas.microsoft.com/office/drawing/2014/main" id="{3710FBD3-8CB3-4521-9F3F-4B6F592F7771}"/>
            </a:ext>
          </a:extLst>
        </xdr:cNvPr>
        <xdr:cNvSpPr/>
      </xdr:nvSpPr>
      <xdr:spPr>
        <a:xfrm>
          <a:off x="10660856" y="3350418"/>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66675</xdr:colOff>
      <xdr:row>17</xdr:row>
      <xdr:rowOff>102393</xdr:rowOff>
    </xdr:from>
    <xdr:to>
      <xdr:col>11</xdr:col>
      <xdr:colOff>185738</xdr:colOff>
      <xdr:row>31</xdr:row>
      <xdr:rowOff>173831</xdr:rowOff>
    </xdr:to>
    <xdr:sp macro="" textlink="">
      <xdr:nvSpPr>
        <xdr:cNvPr id="9" name="Rectangle 8">
          <a:extLst>
            <a:ext uri="{FF2B5EF4-FFF2-40B4-BE49-F238E27FC236}">
              <a16:creationId xmlns:a16="http://schemas.microsoft.com/office/drawing/2014/main" id="{7B7240C2-0849-442B-8C51-293D38CC4128}"/>
            </a:ext>
          </a:extLst>
        </xdr:cNvPr>
        <xdr:cNvSpPr/>
      </xdr:nvSpPr>
      <xdr:spPr>
        <a:xfrm>
          <a:off x="3102769" y="3340893"/>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64293</xdr:colOff>
      <xdr:row>2</xdr:row>
      <xdr:rowOff>147636</xdr:rowOff>
    </xdr:from>
    <xdr:to>
      <xdr:col>11</xdr:col>
      <xdr:colOff>183356</xdr:colOff>
      <xdr:row>17</xdr:row>
      <xdr:rowOff>28574</xdr:rowOff>
    </xdr:to>
    <xdr:sp macro="" textlink="">
      <xdr:nvSpPr>
        <xdr:cNvPr id="10" name="Rectangle 9">
          <a:extLst>
            <a:ext uri="{FF2B5EF4-FFF2-40B4-BE49-F238E27FC236}">
              <a16:creationId xmlns:a16="http://schemas.microsoft.com/office/drawing/2014/main" id="{9925E8A8-5DDF-4B99-8043-59993ADB4D26}"/>
            </a:ext>
          </a:extLst>
        </xdr:cNvPr>
        <xdr:cNvSpPr/>
      </xdr:nvSpPr>
      <xdr:spPr>
        <a:xfrm>
          <a:off x="3100387" y="528636"/>
          <a:ext cx="3750469" cy="273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321467</xdr:colOff>
      <xdr:row>3</xdr:row>
      <xdr:rowOff>107156</xdr:rowOff>
    </xdr:from>
    <xdr:to>
      <xdr:col>4</xdr:col>
      <xdr:colOff>35719</xdr:colOff>
      <xdr:row>7</xdr:row>
      <xdr:rowOff>142876</xdr:rowOff>
    </xdr:to>
    <xdr:sp macro="" textlink="">
      <xdr:nvSpPr>
        <xdr:cNvPr id="11" name="Rectangle: Rounded Corners 10">
          <a:extLst>
            <a:ext uri="{FF2B5EF4-FFF2-40B4-BE49-F238E27FC236}">
              <a16:creationId xmlns:a16="http://schemas.microsoft.com/office/drawing/2014/main" id="{062E603F-EF3C-6F89-215D-C2243F44B6AD}"/>
            </a:ext>
          </a:extLst>
        </xdr:cNvPr>
        <xdr:cNvSpPr/>
      </xdr:nvSpPr>
      <xdr:spPr>
        <a:xfrm>
          <a:off x="321467" y="678656"/>
          <a:ext cx="2143127" cy="79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i="1">
              <a:solidFill>
                <a:srgbClr val="002060"/>
              </a:solidFill>
              <a:latin typeface="+mn-lt"/>
            </a:rPr>
            <a:t>   OVERALL</a:t>
          </a:r>
          <a:r>
            <a:rPr lang="en-US" sz="1800" b="1" i="1" baseline="0">
              <a:solidFill>
                <a:srgbClr val="002060"/>
              </a:solidFill>
              <a:latin typeface="+mn-lt"/>
            </a:rPr>
            <a:t> ROMI       </a:t>
          </a:r>
          <a:br>
            <a:rPr lang="en-US" sz="1800" baseline="0"/>
          </a:br>
          <a:r>
            <a:rPr lang="en-US" sz="1800" baseline="0"/>
            <a:t>             </a:t>
          </a:r>
          <a:r>
            <a:rPr lang="en-US" sz="1800" b="1" baseline="0">
              <a:solidFill>
                <a:srgbClr val="002060"/>
              </a:solidFill>
            </a:rPr>
            <a:t>40%                                        </a:t>
          </a:r>
          <a:endParaRPr lang="en-US" sz="1800" b="1">
            <a:solidFill>
              <a:srgbClr val="002060"/>
            </a:solidFill>
          </a:endParaRPr>
        </a:p>
      </xdr:txBody>
    </xdr:sp>
    <xdr:clientData/>
  </xdr:twoCellAnchor>
  <xdr:twoCellAnchor>
    <xdr:from>
      <xdr:col>0</xdr:col>
      <xdr:colOff>330992</xdr:colOff>
      <xdr:row>8</xdr:row>
      <xdr:rowOff>33338</xdr:rowOff>
    </xdr:from>
    <xdr:to>
      <xdr:col>4</xdr:col>
      <xdr:colOff>45244</xdr:colOff>
      <xdr:row>12</xdr:row>
      <xdr:rowOff>69058</xdr:rowOff>
    </xdr:to>
    <xdr:sp macro="" textlink="">
      <xdr:nvSpPr>
        <xdr:cNvPr id="2" name="Rectangle: Rounded Corners 1">
          <a:extLst>
            <a:ext uri="{FF2B5EF4-FFF2-40B4-BE49-F238E27FC236}">
              <a16:creationId xmlns:a16="http://schemas.microsoft.com/office/drawing/2014/main" id="{C1D73E9A-7399-4086-A105-D655EEBEF54B}"/>
            </a:ext>
          </a:extLst>
        </xdr:cNvPr>
        <xdr:cNvSpPr/>
      </xdr:nvSpPr>
      <xdr:spPr>
        <a:xfrm>
          <a:off x="330992" y="1557338"/>
          <a:ext cx="2143127" cy="79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TOTAL</a:t>
          </a:r>
          <a:r>
            <a:rPr lang="en-US" sz="1800" b="1" baseline="0">
              <a:solidFill>
                <a:srgbClr val="002060"/>
              </a:solidFill>
            </a:rPr>
            <a:t> REVENUE</a:t>
          </a:r>
          <a:br>
            <a:rPr lang="en-US" sz="1800" b="1" baseline="0">
              <a:solidFill>
                <a:srgbClr val="002060"/>
              </a:solidFill>
            </a:rPr>
          </a:br>
          <a:r>
            <a:rPr lang="en-US" sz="1800" b="1" baseline="0">
              <a:solidFill>
                <a:srgbClr val="002060"/>
              </a:solidFill>
            </a:rPr>
            <a:t>        42,889,366</a:t>
          </a:r>
          <a:endParaRPr lang="en-US" sz="1800" b="1">
            <a:solidFill>
              <a:srgbClr val="002060"/>
            </a:solidFill>
          </a:endParaRPr>
        </a:p>
      </xdr:txBody>
    </xdr:sp>
    <xdr:clientData/>
  </xdr:twoCellAnchor>
  <xdr:twoCellAnchor>
    <xdr:from>
      <xdr:col>0</xdr:col>
      <xdr:colOff>340517</xdr:colOff>
      <xdr:row>12</xdr:row>
      <xdr:rowOff>150019</xdr:rowOff>
    </xdr:from>
    <xdr:to>
      <xdr:col>4</xdr:col>
      <xdr:colOff>54769</xdr:colOff>
      <xdr:row>16</xdr:row>
      <xdr:rowOff>185739</xdr:rowOff>
    </xdr:to>
    <xdr:sp macro="" textlink="">
      <xdr:nvSpPr>
        <xdr:cNvPr id="5" name="Rectangle: Rounded Corners 4">
          <a:extLst>
            <a:ext uri="{FF2B5EF4-FFF2-40B4-BE49-F238E27FC236}">
              <a16:creationId xmlns:a16="http://schemas.microsoft.com/office/drawing/2014/main" id="{9807ADDB-61EA-4201-80EF-DB516A2C1898}"/>
            </a:ext>
          </a:extLst>
        </xdr:cNvPr>
        <xdr:cNvSpPr/>
      </xdr:nvSpPr>
      <xdr:spPr>
        <a:xfrm>
          <a:off x="340517" y="2436019"/>
          <a:ext cx="2143127" cy="79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2060"/>
              </a:solidFill>
            </a:rPr>
            <a:t>   TOTAL</a:t>
          </a:r>
          <a:r>
            <a:rPr lang="en-US" sz="1800" b="1" baseline="0">
              <a:solidFill>
                <a:srgbClr val="002060"/>
              </a:solidFill>
            </a:rPr>
            <a:t> ORDER</a:t>
          </a:r>
          <a:br>
            <a:rPr lang="en-US" sz="1800" b="1" baseline="0">
              <a:solidFill>
                <a:srgbClr val="002060"/>
              </a:solidFill>
            </a:rPr>
          </a:br>
          <a:r>
            <a:rPr lang="en-US" sz="1800" b="1" baseline="0">
              <a:solidFill>
                <a:srgbClr val="002060"/>
              </a:solidFill>
            </a:rPr>
            <a:t>          8,043</a:t>
          </a:r>
          <a:endParaRPr lang="en-US" sz="1800" b="1">
            <a:solidFill>
              <a:srgbClr val="002060"/>
            </a:solidFill>
          </a:endParaRPr>
        </a:p>
      </xdr:txBody>
    </xdr:sp>
    <xdr:clientData/>
  </xdr:twoCellAnchor>
  <xdr:twoCellAnchor>
    <xdr:from>
      <xdr:col>0</xdr:col>
      <xdr:colOff>350041</xdr:colOff>
      <xdr:row>17</xdr:row>
      <xdr:rowOff>88106</xdr:rowOff>
    </xdr:from>
    <xdr:to>
      <xdr:col>4</xdr:col>
      <xdr:colOff>64293</xdr:colOff>
      <xdr:row>21</xdr:row>
      <xdr:rowOff>123826</xdr:rowOff>
    </xdr:to>
    <xdr:sp macro="" textlink="">
      <xdr:nvSpPr>
        <xdr:cNvPr id="12" name="Rectangle: Rounded Corners 11">
          <a:extLst>
            <a:ext uri="{FF2B5EF4-FFF2-40B4-BE49-F238E27FC236}">
              <a16:creationId xmlns:a16="http://schemas.microsoft.com/office/drawing/2014/main" id="{1828E590-5A29-4BD4-9FEE-90753F901314}"/>
            </a:ext>
          </a:extLst>
        </xdr:cNvPr>
        <xdr:cNvSpPr/>
      </xdr:nvSpPr>
      <xdr:spPr>
        <a:xfrm>
          <a:off x="350041" y="3326606"/>
          <a:ext cx="2143127" cy="79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1" baseline="0">
              <a:solidFill>
                <a:srgbClr val="002060"/>
              </a:solidFill>
              <a:latin typeface="+mn-lt"/>
            </a:rPr>
            <a:t>TOTAL GROSS_PROFIT </a:t>
          </a:r>
          <a:br>
            <a:rPr lang="en-US" sz="1800" baseline="0"/>
          </a:br>
          <a:r>
            <a:rPr lang="en-US" sz="1800" baseline="0"/>
            <a:t>       </a:t>
          </a:r>
          <a:r>
            <a:rPr lang="en-US" sz="1800" b="1" baseline="0">
              <a:solidFill>
                <a:srgbClr val="002060"/>
              </a:solidFill>
            </a:rPr>
            <a:t>12,298,486                                      </a:t>
          </a:r>
          <a:endParaRPr lang="en-US" sz="1800" b="1">
            <a:solidFill>
              <a:srgbClr val="002060"/>
            </a:solidFill>
          </a:endParaRPr>
        </a:p>
      </xdr:txBody>
    </xdr:sp>
    <xdr:clientData/>
  </xdr:twoCellAnchor>
  <xdr:twoCellAnchor>
    <xdr:from>
      <xdr:col>0</xdr:col>
      <xdr:colOff>359567</xdr:colOff>
      <xdr:row>22</xdr:row>
      <xdr:rowOff>2381</xdr:rowOff>
    </xdr:from>
    <xdr:to>
      <xdr:col>4</xdr:col>
      <xdr:colOff>73819</xdr:colOff>
      <xdr:row>26</xdr:row>
      <xdr:rowOff>38101</xdr:rowOff>
    </xdr:to>
    <xdr:sp macro="" textlink="">
      <xdr:nvSpPr>
        <xdr:cNvPr id="13" name="Rectangle: Rounded Corners 12">
          <a:extLst>
            <a:ext uri="{FF2B5EF4-FFF2-40B4-BE49-F238E27FC236}">
              <a16:creationId xmlns:a16="http://schemas.microsoft.com/office/drawing/2014/main" id="{6EFBF736-CA08-4C6E-8D4E-5FA7ABA4AF14}"/>
            </a:ext>
          </a:extLst>
        </xdr:cNvPr>
        <xdr:cNvSpPr/>
      </xdr:nvSpPr>
      <xdr:spPr>
        <a:xfrm>
          <a:off x="359567" y="4193381"/>
          <a:ext cx="2143127" cy="7977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2060"/>
              </a:solidFill>
            </a:rPr>
            <a:t>TOTAL</a:t>
          </a:r>
          <a:r>
            <a:rPr lang="en-US" sz="1600" b="1" baseline="0">
              <a:solidFill>
                <a:srgbClr val="002060"/>
              </a:solidFill>
            </a:rPr>
            <a:t> MARK_SPENT</a:t>
          </a:r>
          <a:br>
            <a:rPr lang="en-US" sz="1600" b="1" baseline="0">
              <a:solidFill>
                <a:srgbClr val="002060"/>
              </a:solidFill>
            </a:rPr>
          </a:br>
          <a:r>
            <a:rPr lang="en-US" sz="1600" b="1" baseline="0">
              <a:solidFill>
                <a:srgbClr val="002060"/>
              </a:solidFill>
            </a:rPr>
            <a:t>        30,590,879</a:t>
          </a:r>
          <a:endParaRPr lang="en-US" sz="1600" b="1">
            <a:solidFill>
              <a:srgbClr val="002060"/>
            </a:solidFill>
          </a:endParaRPr>
        </a:p>
      </xdr:txBody>
    </xdr:sp>
    <xdr:clientData/>
  </xdr:twoCellAnchor>
  <xdr:twoCellAnchor>
    <xdr:from>
      <xdr:col>5</xdr:col>
      <xdr:colOff>88106</xdr:colOff>
      <xdr:row>2</xdr:row>
      <xdr:rowOff>154781</xdr:rowOff>
    </xdr:from>
    <xdr:to>
      <xdr:col>11</xdr:col>
      <xdr:colOff>190500</xdr:colOff>
      <xdr:row>17</xdr:row>
      <xdr:rowOff>11906</xdr:rowOff>
    </xdr:to>
    <xdr:graphicFrame macro="">
      <xdr:nvGraphicFramePr>
        <xdr:cNvPr id="14" name="Chart 13">
          <a:extLst>
            <a:ext uri="{FF2B5EF4-FFF2-40B4-BE49-F238E27FC236}">
              <a16:creationId xmlns:a16="http://schemas.microsoft.com/office/drawing/2014/main" id="{D9DE239D-7092-48DF-A3C1-D864BB3C0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214312</xdr:colOff>
      <xdr:row>3</xdr:row>
      <xdr:rowOff>0</xdr:rowOff>
    </xdr:from>
    <xdr:to>
      <xdr:col>17</xdr:col>
      <xdr:colOff>321468</xdr:colOff>
      <xdr:row>17</xdr:row>
      <xdr:rowOff>47626</xdr:rowOff>
    </xdr:to>
    <xdr:graphicFrame macro="">
      <xdr:nvGraphicFramePr>
        <xdr:cNvPr id="15" name="Chart 14">
          <a:extLst>
            <a:ext uri="{FF2B5EF4-FFF2-40B4-BE49-F238E27FC236}">
              <a16:creationId xmlns:a16="http://schemas.microsoft.com/office/drawing/2014/main" id="{96EBEB6F-4A7C-4AFB-BBDE-01AF46D96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376237</xdr:colOff>
      <xdr:row>2</xdr:row>
      <xdr:rowOff>150017</xdr:rowOff>
    </xdr:from>
    <xdr:to>
      <xdr:col>23</xdr:col>
      <xdr:colOff>500062</xdr:colOff>
      <xdr:row>17</xdr:row>
      <xdr:rowOff>11905</xdr:rowOff>
    </xdr:to>
    <xdr:graphicFrame macro="">
      <xdr:nvGraphicFramePr>
        <xdr:cNvPr id="16" name="Chart 15">
          <a:extLst>
            <a:ext uri="{FF2B5EF4-FFF2-40B4-BE49-F238E27FC236}">
              <a16:creationId xmlns:a16="http://schemas.microsoft.com/office/drawing/2014/main" id="{D59605A4-0B43-4E2D-9D1E-473E333C8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66675</xdr:colOff>
      <xdr:row>17</xdr:row>
      <xdr:rowOff>102393</xdr:rowOff>
    </xdr:from>
    <xdr:to>
      <xdr:col>11</xdr:col>
      <xdr:colOff>166687</xdr:colOff>
      <xdr:row>31</xdr:row>
      <xdr:rowOff>178593</xdr:rowOff>
    </xdr:to>
    <xdr:graphicFrame macro="">
      <xdr:nvGraphicFramePr>
        <xdr:cNvPr id="17" name="Chart 16">
          <a:extLst>
            <a:ext uri="{FF2B5EF4-FFF2-40B4-BE49-F238E27FC236}">
              <a16:creationId xmlns:a16="http://schemas.microsoft.com/office/drawing/2014/main" id="{51A7406E-21CA-4CC0-98E0-4544D664A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235743</xdr:colOff>
      <xdr:row>17</xdr:row>
      <xdr:rowOff>140494</xdr:rowOff>
    </xdr:from>
    <xdr:to>
      <xdr:col>17</xdr:col>
      <xdr:colOff>333374</xdr:colOff>
      <xdr:row>32</xdr:row>
      <xdr:rowOff>23814</xdr:rowOff>
    </xdr:to>
    <xdr:graphicFrame macro="">
      <xdr:nvGraphicFramePr>
        <xdr:cNvPr id="18" name="Chart 17">
          <a:extLst>
            <a:ext uri="{FF2B5EF4-FFF2-40B4-BE49-F238E27FC236}">
              <a16:creationId xmlns:a16="http://schemas.microsoft.com/office/drawing/2014/main" id="{8345D4F8-C51B-4919-98E8-C70036F31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500064</xdr:colOff>
      <xdr:row>2</xdr:row>
      <xdr:rowOff>145257</xdr:rowOff>
    </xdr:from>
    <xdr:to>
      <xdr:col>25</xdr:col>
      <xdr:colOff>547687</xdr:colOff>
      <xdr:row>5</xdr:row>
      <xdr:rowOff>130969</xdr:rowOff>
    </xdr:to>
    <mc:AlternateContent xmlns:mc="http://schemas.openxmlformats.org/markup-compatibility/2006" xmlns:a14="http://schemas.microsoft.com/office/drawing/2010/main">
      <mc:Choice Requires="a14">
        <xdr:graphicFrame macro="">
          <xdr:nvGraphicFramePr>
            <xdr:cNvPr id="19" name="campaign_name">
              <a:extLst>
                <a:ext uri="{FF2B5EF4-FFF2-40B4-BE49-F238E27FC236}">
                  <a16:creationId xmlns:a16="http://schemas.microsoft.com/office/drawing/2014/main" id="{AF4B5F30-31EE-BFEA-8F6C-C410DD30F8D7}"/>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14454189" y="526257"/>
              <a:ext cx="1262061" cy="55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490539</xdr:colOff>
      <xdr:row>5</xdr:row>
      <xdr:rowOff>180976</xdr:rowOff>
    </xdr:from>
    <xdr:to>
      <xdr:col>25</xdr:col>
      <xdr:colOff>559595</xdr:colOff>
      <xdr:row>8</xdr:row>
      <xdr:rowOff>154782</xdr:rowOff>
    </xdr:to>
    <mc:AlternateContent xmlns:mc="http://schemas.openxmlformats.org/markup-compatibility/2006" xmlns:a14="http://schemas.microsoft.com/office/drawing/2010/main">
      <mc:Choice Requires="a14">
        <xdr:graphicFrame macro="">
          <xdr:nvGraphicFramePr>
            <xdr:cNvPr id="20" name="Tier ">
              <a:extLst>
                <a:ext uri="{FF2B5EF4-FFF2-40B4-BE49-F238E27FC236}">
                  <a16:creationId xmlns:a16="http://schemas.microsoft.com/office/drawing/2014/main" id="{21FE5BC3-3A64-AF35-DCA4-9C14290097C6}"/>
                </a:ext>
              </a:extLst>
            </xdr:cNvPr>
            <xdr:cNvGraphicFramePr/>
          </xdr:nvGraphicFramePr>
          <xdr:xfrm>
            <a:off x="0" y="0"/>
            <a:ext cx="0" cy="0"/>
          </xdr:xfrm>
          <a:graphic>
            <a:graphicData uri="http://schemas.microsoft.com/office/drawing/2010/slicer">
              <sle:slicer xmlns:sle="http://schemas.microsoft.com/office/drawing/2010/slicer" name="Tier "/>
            </a:graphicData>
          </a:graphic>
        </xdr:graphicFrame>
      </mc:Choice>
      <mc:Fallback xmlns="">
        <xdr:sp macro="" textlink="">
          <xdr:nvSpPr>
            <xdr:cNvPr id="0" name=""/>
            <xdr:cNvSpPr>
              <a:spLocks noTextEdit="1"/>
            </xdr:cNvSpPr>
          </xdr:nvSpPr>
          <xdr:spPr>
            <a:xfrm>
              <a:off x="14444664" y="1133476"/>
              <a:ext cx="1283494" cy="545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490538</xdr:colOff>
      <xdr:row>9</xdr:row>
      <xdr:rowOff>14289</xdr:rowOff>
    </xdr:from>
    <xdr:to>
      <xdr:col>25</xdr:col>
      <xdr:colOff>535782</xdr:colOff>
      <xdr:row>12</xdr:row>
      <xdr:rowOff>1</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D0C2AFD2-7AD7-F1AD-540D-9D5BF22C30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44663" y="1728789"/>
              <a:ext cx="1259682" cy="55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490538</xdr:colOff>
      <xdr:row>12</xdr:row>
      <xdr:rowOff>61914</xdr:rowOff>
    </xdr:from>
    <xdr:to>
      <xdr:col>25</xdr:col>
      <xdr:colOff>523875</xdr:colOff>
      <xdr:row>15</xdr:row>
      <xdr:rowOff>47626</xdr:rowOff>
    </xdr:to>
    <mc:AlternateContent xmlns:mc="http://schemas.openxmlformats.org/markup-compatibility/2006" xmlns:a14="http://schemas.microsoft.com/office/drawing/2010/main">
      <mc:Choice Requires="a14">
        <xdr:graphicFrame macro="">
          <xdr:nvGraphicFramePr>
            <xdr:cNvPr id="22" name="Date_Type">
              <a:extLst>
                <a:ext uri="{FF2B5EF4-FFF2-40B4-BE49-F238E27FC236}">
                  <a16:creationId xmlns:a16="http://schemas.microsoft.com/office/drawing/2014/main" id="{DB895F43-5D35-2BC4-6BB8-E83283CB7E4F}"/>
                </a:ext>
              </a:extLst>
            </xdr:cNvPr>
            <xdr:cNvGraphicFramePr/>
          </xdr:nvGraphicFramePr>
          <xdr:xfrm>
            <a:off x="0" y="0"/>
            <a:ext cx="0" cy="0"/>
          </xdr:xfrm>
          <a:graphic>
            <a:graphicData uri="http://schemas.microsoft.com/office/drawing/2010/slicer">
              <sle:slicer xmlns:sle="http://schemas.microsoft.com/office/drawing/2010/slicer" name="Date_Type"/>
            </a:graphicData>
          </a:graphic>
        </xdr:graphicFrame>
      </mc:Choice>
      <mc:Fallback xmlns="">
        <xdr:sp macro="" textlink="">
          <xdr:nvSpPr>
            <xdr:cNvPr id="0" name=""/>
            <xdr:cNvSpPr>
              <a:spLocks noTextEdit="1"/>
            </xdr:cNvSpPr>
          </xdr:nvSpPr>
          <xdr:spPr>
            <a:xfrm>
              <a:off x="14444663" y="2347914"/>
              <a:ext cx="1247775" cy="55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350044</xdr:colOff>
      <xdr:row>17</xdr:row>
      <xdr:rowOff>123823</xdr:rowOff>
    </xdr:from>
    <xdr:to>
      <xdr:col>23</xdr:col>
      <xdr:colOff>428625</xdr:colOff>
      <xdr:row>31</xdr:row>
      <xdr:rowOff>178592</xdr:rowOff>
    </xdr:to>
    <xdr:graphicFrame macro="">
      <xdr:nvGraphicFramePr>
        <xdr:cNvPr id="24" name="Chart 23">
          <a:extLst>
            <a:ext uri="{FF2B5EF4-FFF2-40B4-BE49-F238E27FC236}">
              <a16:creationId xmlns:a16="http://schemas.microsoft.com/office/drawing/2014/main" id="{1C10AD96-7038-4C61-9942-2BD6F3A90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94.704179745371" createdVersion="8" refreshedVersion="8" minRefreshableVersion="3" recordCount="308" xr:uid="{44B651FC-328E-4EBE-98EB-FB7FD0178A7F}">
  <cacheSource type="worksheet">
    <worksheetSource name="Marketing_Data"/>
  </cacheSource>
  <cacheFields count="23">
    <cacheField name="id" numFmtId="49">
      <sharedItems containsSemiMixedTypes="0" containsString="0" containsNumber="1" containsInteger="1" minValue="1" maxValue="308"/>
    </cacheField>
    <cacheField name="c_date" numFmtId="14">
      <sharedItems containsSemiMixedTypes="0" containsNonDate="0" containsDate="1" containsString="0" minDate="2021-02-01T00:00:00" maxDate="2021-03-01T00:00:00" count="28">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sharedItems>
    </cacheField>
    <cacheField name="Date_Type" numFmtId="14">
      <sharedItems count="2">
        <s v="Weekday"/>
        <s v="Weekend"/>
      </sharedItems>
    </cacheField>
    <cacheField name="campaign_name" numFmtId="0">
      <sharedItems count="11">
        <s v="facebook_tier1"/>
        <s v="facebook_tier2"/>
        <s v="google_hot"/>
        <s v="google_wide"/>
        <s v="youtube_blogger"/>
        <s v="instagram_tier1"/>
        <s v="instagram_tier2"/>
        <s v="facebook_retargeting"/>
        <s v="facebook_lal"/>
        <s v="instagram_blogger"/>
        <s v="banner_partner"/>
      </sharedItems>
    </cacheField>
    <cacheField name="Tier " numFmtId="0">
      <sharedItems count="3">
        <s v="Tier 1"/>
        <s v="Tier 2"/>
        <s v="Other"/>
      </sharedItems>
    </cacheField>
    <cacheField name="category" numFmtId="0">
      <sharedItems count="4">
        <s v="social"/>
        <s v="search"/>
        <s v="influencer"/>
        <s v="media"/>
      </sharedItems>
    </cacheField>
    <cacheField name="campaign_id" numFmtId="0">
      <sharedItems containsSemiMixedTypes="0" containsString="0" containsNumber="1" containsInteger="1" minValue="10934" maxValue="89459845"/>
    </cacheField>
    <cacheField name="impressions" numFmtId="0">
      <sharedItems containsSemiMixedTypes="0" containsString="0" containsNumber="1" containsInteger="1" minValue="667" maxValue="419970000"/>
    </cacheField>
    <cacheField name="mark_spent" numFmtId="0">
      <sharedItems containsSemiMixedTypes="0" containsString="0" containsNumber="1" minValue="169.75" maxValue="880357" count="308">
        <n v="7307.37"/>
        <n v="16300.2"/>
        <n v="5221.6000000000004"/>
        <n v="6037"/>
        <n v="29962.2"/>
        <n v="9540.01"/>
        <n v="3648.9"/>
        <n v="1293.55"/>
        <n v="16997.8"/>
        <n v="23604.1"/>
        <n v="931.99"/>
        <n v="18385.3"/>
        <n v="2198.0500000000002"/>
        <n v="11446.7"/>
        <n v="15153.6"/>
        <n v="42301.1"/>
        <n v="29081.1"/>
        <n v="1421.34"/>
        <n v="169.75"/>
        <n v="8829.07"/>
        <n v="13919.1"/>
        <n v="46159.8"/>
        <n v="65284.4"/>
        <n v="78958.3"/>
        <n v="77345.5"/>
        <n v="49498.9"/>
        <n v="189341"/>
        <n v="62509.8"/>
        <n v="94399.9"/>
        <n v="5039.51"/>
        <n v="76716.399999999994"/>
        <n v="194336"/>
        <n v="29378.3"/>
        <n v="173914"/>
        <n v="115389"/>
        <n v="41269.599999999999"/>
        <n v="60108.800000000003"/>
        <n v="185263"/>
        <n v="104028"/>
        <n v="40119.199999999997"/>
        <n v="885.75"/>
        <n v="120335"/>
        <n v="149279"/>
        <n v="177746"/>
        <n v="90691.7"/>
        <n v="261047"/>
        <n v="96930.6"/>
        <n v="56875.199999999997"/>
        <n v="442617"/>
        <n v="258306"/>
        <n v="13588.8"/>
        <n v="6790.74"/>
        <n v="192789"/>
        <n v="36431.699999999997"/>
        <n v="427922"/>
        <n v="40407.9"/>
        <n v="62272.6"/>
        <n v="6768.87"/>
        <n v="22542"/>
        <n v="80971.399999999994"/>
        <n v="3661.53"/>
        <n v="12183.4"/>
        <n v="1420.15"/>
        <n v="29281"/>
        <n v="8289.2099999999991"/>
        <n v="38185.199999999997"/>
        <n v="27314.400000000001"/>
        <n v="38485.599999999999"/>
        <n v="6426"/>
        <n v="18102.099999999999"/>
        <n v="31680.1"/>
        <n v="37965.9"/>
        <n v="6747.94"/>
        <n v="3435.44"/>
        <n v="10104.9"/>
        <n v="46167.6"/>
        <n v="79987.7"/>
        <n v="27210.400000000001"/>
        <n v="33752.800000000003"/>
        <n v="6918.85"/>
        <n v="16567.5"/>
        <n v="33892.6"/>
        <n v="330.76"/>
        <n v="2057.3000000000002"/>
        <n v="4336.04"/>
        <n v="40099"/>
        <n v="31154.3"/>
        <n v="31883.9"/>
        <n v="49036.5"/>
        <n v="62119.4"/>
        <n v="3095.21"/>
        <n v="20299.3"/>
        <n v="27833"/>
        <n v="10317"/>
        <n v="7398.26"/>
        <n v="2152.37"/>
        <n v="29091.4"/>
        <n v="57642.400000000001"/>
        <n v="44731.7"/>
        <n v="43386.400000000001"/>
        <n v="43865.9"/>
        <n v="51883.1"/>
        <n v="67577.8"/>
        <n v="19831.400000000001"/>
        <n v="38890.300000000003"/>
        <n v="14147.9"/>
        <n v="12713"/>
        <n v="131236"/>
        <n v="126901"/>
        <n v="179519"/>
        <n v="105681"/>
        <n v="188516"/>
        <n v="26220.400000000001"/>
        <n v="51422.5"/>
        <n v="197161"/>
        <n v="348.99"/>
        <n v="4138.7299999999996"/>
        <n v="17711.099999999999"/>
        <n v="6171.15"/>
        <n v="128751"/>
        <n v="193124"/>
        <n v="110004"/>
        <n v="191722"/>
        <n v="59745.3"/>
        <n v="86733.1"/>
        <n v="121652"/>
        <n v="26659.9"/>
        <n v="49060.3"/>
        <n v="11278.3"/>
        <n v="44580.9"/>
        <n v="308572"/>
        <n v="145201"/>
        <n v="308692"/>
        <n v="325444"/>
        <n v="61588.1"/>
        <n v="216562"/>
        <n v="205045"/>
        <n v="88844.800000000003"/>
        <n v="16656.8"/>
        <n v="8367.08"/>
        <n v="171332"/>
        <n v="32770.1"/>
        <n v="390105"/>
        <n v="60244.9"/>
        <n v="197948"/>
        <n v="56440.3"/>
        <n v="196998"/>
        <n v="231751"/>
        <n v="312844"/>
        <n v="218228"/>
        <n v="4764.34"/>
        <n v="170719"/>
        <n v="205870"/>
        <n v="225274"/>
        <n v="168064"/>
        <n v="593576"/>
        <n v="82930.7"/>
        <n v="124854"/>
        <n v="151480"/>
        <n v="136269"/>
        <n v="37098.6"/>
        <n v="14609.5"/>
        <n v="6587.76"/>
        <n v="82452"/>
        <n v="543275"/>
        <n v="393027"/>
        <n v="595176"/>
        <n v="102053"/>
        <n v="271906"/>
        <n v="221258"/>
        <n v="143680"/>
        <n v="103731"/>
        <n v="31712"/>
        <n v="345629"/>
        <n v="620903"/>
        <n v="206424"/>
        <n v="489831"/>
        <n v="403691"/>
        <n v="116213"/>
        <n v="180223"/>
        <n v="363811"/>
        <n v="246023"/>
        <n v="162819"/>
        <n v="31422.5"/>
        <n v="291254"/>
        <n v="462606"/>
        <n v="523398"/>
        <n v="30892.2"/>
        <n v="373294"/>
        <n v="119542"/>
        <n v="200986"/>
        <n v="86522.9"/>
        <n v="241388"/>
        <n v="58596.4"/>
        <n v="17176.7"/>
        <n v="171831"/>
        <n v="518530"/>
        <n v="339735"/>
        <n v="53253.9"/>
        <n v="415376"/>
        <n v="9777.5499999999993"/>
        <n v="81623.5"/>
        <n v="880357"/>
        <n v="300775"/>
        <n v="9908.98"/>
        <n v="3173.41"/>
        <n v="440355"/>
        <n v="404285"/>
        <n v="492126"/>
        <n v="56874.2"/>
        <n v="455831"/>
        <n v="190469"/>
        <n v="435770"/>
        <n v="303860"/>
        <n v="404737"/>
        <n v="150065"/>
        <n v="73587.5"/>
        <n v="173041"/>
        <n v="504576"/>
        <n v="750361"/>
        <n v="38596.699999999997"/>
        <n v="39481"/>
        <n v="9444.1200000000008"/>
        <n v="17476.2"/>
        <n v="30801"/>
        <n v="29457.5"/>
        <n v="12503.5"/>
        <n v="1555.96"/>
        <n v="32169.9"/>
        <n v="65006.3"/>
        <n v="25023.200000000001"/>
        <n v="59710"/>
        <n v="95536.2"/>
        <n v="30645.4"/>
        <n v="12348.3"/>
        <n v="77803.8"/>
        <n v="33474.699999999997"/>
        <n v="19196.599999999999"/>
        <n v="5792.48"/>
        <n v="51783.3"/>
        <n v="137382"/>
        <n v="60021.599999999999"/>
        <n v="9858.2800000000007"/>
        <n v="19350"/>
        <n v="5409.21"/>
        <n v="12581.6"/>
        <n v="16343"/>
        <n v="557.25"/>
        <n v="4285.4399999999996"/>
        <n v="1238.0899999999999"/>
        <n v="16078.6"/>
        <n v="15435"/>
        <n v="16706.400000000001"/>
        <n v="94564.2"/>
        <n v="44347.199999999997"/>
        <n v="14306.2"/>
        <n v="22357.599999999999"/>
        <n v="22944.3"/>
        <n v="23908.400000000001"/>
        <n v="18675"/>
        <n v="2857.1"/>
        <n v="48796.6"/>
        <n v="42311.5"/>
        <n v="34169.9"/>
        <n v="11230.2"/>
        <n v="10357"/>
        <n v="1078.73"/>
        <n v="9472.2199999999993"/>
        <n v="9034.91"/>
        <n v="2304.0100000000002"/>
        <n v="2059.0300000000002"/>
        <n v="1487.47"/>
        <n v="5871.29"/>
        <n v="6227.53"/>
        <n v="7583.66"/>
        <n v="19887.7"/>
        <n v="17935.400000000001"/>
        <n v="1545.74"/>
        <n v="4453.1000000000004"/>
        <n v="38804.199999999997"/>
        <n v="12592.4"/>
        <n v="2403.54"/>
        <n v="1071.1600000000001"/>
        <n v="315.92"/>
        <n v="15596"/>
        <n v="8087.73"/>
        <n v="5003.33"/>
        <n v="3235.77"/>
        <n v="1754.25"/>
        <n v="1487.24"/>
        <n v="5721.83"/>
        <n v="1832.16"/>
        <n v="254.14"/>
        <n v="200.42"/>
        <n v="3098.45"/>
        <n v="3524.08"/>
        <n v="2791.06"/>
        <n v="6440.5"/>
        <n v="8665.5499999999993"/>
        <n v="3529.73"/>
        <n v="384.75"/>
        <n v="9892.77"/>
        <n v="4950.74"/>
        <n v="760.75"/>
        <n v="224.81"/>
        <n v="6844.8"/>
        <n v="4845.6499999999996"/>
        <n v="6822.62"/>
      </sharedItems>
    </cacheField>
    <cacheField name="clicks" numFmtId="0">
      <sharedItems containsSemiMixedTypes="0" containsString="0" containsNumber="1" containsInteger="1" minValue="20" maxValue="61195" count="274">
        <n v="1210"/>
        <n v="1640"/>
        <n v="457"/>
        <n v="1196"/>
        <n v="2258"/>
        <n v="1342"/>
        <n v="2556"/>
        <n v="148"/>
        <n v="596"/>
        <n v="1498"/>
        <n v="2090"/>
        <n v="2391"/>
        <n v="3294"/>
        <n v="907"/>
        <n v="2395"/>
        <n v="4492"/>
        <n v="2701"/>
        <n v="5104"/>
        <n v="301"/>
        <n v="2996"/>
        <n v="4200"/>
        <n v="7197"/>
        <n v="9898"/>
        <n v="2698"/>
        <n v="7207"/>
        <n v="13503"/>
        <n v="8093"/>
        <n v="15298"/>
        <n v="896"/>
        <n v="3595"/>
        <n v="8996"/>
        <n v="12591"/>
        <n v="9601"/>
        <n v="13206"/>
        <n v="3599"/>
        <n v="9591"/>
        <n v="17993"/>
        <n v="10794"/>
        <n v="20392"/>
        <n v="1194"/>
        <n v="4807"/>
        <n v="11993"/>
        <n v="16806"/>
        <n v="11997"/>
        <n v="16498"/>
        <n v="4504"/>
        <n v="22507"/>
        <n v="13498"/>
        <n v="25503"/>
        <n v="1505"/>
        <n v="6004"/>
        <n v="15003"/>
        <n v="20997"/>
        <n v="3302"/>
        <n v="899"/>
        <n v="2392"/>
        <n v="4508"/>
        <n v="2695"/>
        <n v="5092"/>
        <n v="306"/>
        <n v="1197"/>
        <n v="3007"/>
        <n v="4207"/>
        <n v="2390"/>
        <n v="3295"/>
        <n v="893"/>
        <n v="2404"/>
        <n v="4505"/>
        <n v="2696"/>
        <n v="5103"/>
        <n v="294"/>
        <n v="4203"/>
        <n v="3290"/>
        <n v="904"/>
        <n v="4491"/>
        <n v="2690"/>
        <n v="5100"/>
        <n v="302"/>
        <n v="1202"/>
        <n v="2991"/>
        <n v="4197"/>
        <n v="2393"/>
        <n v="3303"/>
        <n v="898"/>
        <n v="4495"/>
        <n v="5110"/>
        <n v="290"/>
        <n v="1198"/>
        <n v="3006"/>
        <n v="4190"/>
        <n v="4809"/>
        <n v="6596"/>
        <n v="1797"/>
        <n v="4797"/>
        <n v="8998"/>
        <n v="5406"/>
        <n v="10200"/>
        <n v="599"/>
        <n v="2396"/>
        <n v="6005"/>
        <n v="8391"/>
        <n v="7206"/>
        <n v="9895"/>
        <n v="2692"/>
        <n v="7198"/>
        <n v="13506"/>
        <n v="8106"/>
        <n v="15291"/>
        <n v="9004"/>
        <n v="12602"/>
        <n v="9607"/>
        <n v="13196"/>
        <n v="3602"/>
        <n v="9605"/>
        <n v="17994"/>
        <n v="10806"/>
        <n v="20391"/>
        <n v="1207"/>
        <n v="4800"/>
        <n v="12003"/>
        <n v="16808"/>
        <n v="11990"/>
        <n v="16506"/>
        <n v="4507"/>
        <n v="12010"/>
        <n v="22509"/>
        <n v="13491"/>
        <n v="1510"/>
        <n v="6006"/>
        <n v="14992"/>
        <n v="20993"/>
        <n v="14406"/>
        <n v="19797"/>
        <n v="5409"/>
        <n v="14390"/>
        <n v="26993"/>
        <n v="16197"/>
        <n v="30602"/>
        <n v="1790"/>
        <n v="7205"/>
        <n v="17998"/>
        <n v="25190"/>
        <n v="16809"/>
        <n v="23103"/>
        <n v="6307"/>
        <n v="16798"/>
        <n v="31504"/>
        <n v="18901"/>
        <n v="35692"/>
        <n v="2099"/>
        <n v="8402"/>
        <n v="21007"/>
        <n v="29390"/>
        <n v="19195"/>
        <n v="26400"/>
        <n v="19207"/>
        <n v="35999"/>
        <n v="21596"/>
        <n v="40794"/>
        <n v="2407"/>
        <n v="9597"/>
        <n v="23994"/>
        <n v="33592"/>
        <n v="21603"/>
        <n v="29704"/>
        <n v="8104"/>
        <n v="40494"/>
        <n v="24294"/>
        <n v="45907"/>
        <n v="10810"/>
        <n v="26990"/>
        <n v="37805"/>
        <n v="23991"/>
        <n v="33003"/>
        <n v="24005"/>
        <n v="45004"/>
        <n v="27009"/>
        <n v="51000"/>
        <n v="11991"/>
        <n v="30000"/>
        <n v="41997"/>
        <n v="26407"/>
        <n v="36304"/>
        <n v="9904"/>
        <n v="26406"/>
        <n v="49510"/>
        <n v="29699"/>
        <n v="56110"/>
        <n v="3297"/>
        <n v="13202"/>
        <n v="32999"/>
        <n v="46209"/>
        <n v="28796"/>
        <n v="39593"/>
        <n v="10809"/>
        <n v="28810"/>
        <n v="53993"/>
        <n v="32395"/>
        <n v="61195"/>
        <n v="3594"/>
        <n v="14399"/>
        <n v="35994"/>
        <n v="50408"/>
        <n v="3299"/>
        <n v="2709"/>
        <n v="296"/>
        <n v="3009"/>
        <n v="4208"/>
        <n v="4802"/>
        <n v="6606"/>
        <n v="1810"/>
        <n v="4798"/>
        <n v="8997"/>
        <n v="5397"/>
        <n v="10202"/>
        <n v="598"/>
        <n v="5997"/>
        <n v="8409"/>
        <n v="1203"/>
        <n v="1641"/>
        <n v="442"/>
        <n v="1205"/>
        <n v="2246"/>
        <n v="1349"/>
        <n v="2560"/>
        <n v="155"/>
        <n v="608"/>
        <n v="1500"/>
        <n v="2408"/>
        <n v="903"/>
        <n v="2703"/>
        <n v="5098"/>
        <n v="297"/>
        <n v="2990"/>
        <n v="4205"/>
        <n v="473"/>
        <n v="657"/>
        <n v="175"/>
        <n v="487"/>
        <n v="530"/>
        <n v="1015"/>
        <n v="66"/>
        <n v="250"/>
        <n v="591"/>
        <n v="848"/>
        <n v="1657"/>
        <n v="449"/>
        <n v="2247"/>
        <n v="2543"/>
        <n v="143"/>
        <n v="610"/>
        <n v="1497"/>
        <n v="2093"/>
        <n v="241"/>
        <n v="332"/>
        <n v="83"/>
        <n v="243"/>
        <n v="440"/>
        <n v="275"/>
        <n v="503"/>
        <n v="20"/>
        <n v="115"/>
        <n v="298"/>
        <n v="426"/>
        <n v="486"/>
        <n v="661"/>
        <n v="187"/>
        <n v="909"/>
        <n v="546"/>
        <n v="1024"/>
        <n v="58"/>
        <n v="248"/>
        <n v="594"/>
        <n v="849"/>
      </sharedItems>
    </cacheField>
    <cacheField name="leads" numFmtId="0">
      <sharedItems containsSemiMixedTypes="0" containsString="0" containsNumber="1" containsInteger="1" minValue="0" maxValue="1678" count="176">
        <n v="13"/>
        <n v="48"/>
        <n v="9"/>
        <n v="24"/>
        <n v="49"/>
        <n v="27"/>
        <n v="94"/>
        <n v="3"/>
        <n v="14"/>
        <n v="10"/>
        <n v="18"/>
        <n v="39"/>
        <n v="85"/>
        <n v="54"/>
        <n v="0"/>
        <n v="7"/>
        <n v="19"/>
        <n v="92"/>
        <n v="115"/>
        <n v="226"/>
        <n v="84"/>
        <n v="144"/>
        <n v="455"/>
        <n v="166"/>
        <n v="592"/>
        <n v="72"/>
        <n v="342"/>
        <n v="68"/>
        <n v="192"/>
        <n v="143"/>
        <n v="55"/>
        <n v="234"/>
        <n v="445"/>
        <n v="238"/>
        <n v="408"/>
        <n v="4"/>
        <n v="71"/>
        <n v="267"/>
        <n v="336"/>
        <n v="330"/>
        <n v="151"/>
        <n v="139"/>
        <n v="731"/>
        <n v="526"/>
        <n v="765"/>
        <n v="30"/>
        <n v="120"/>
        <n v="51"/>
        <n v="796"/>
        <n v="76"/>
        <n v="108"/>
        <n v="133"/>
        <n v="102"/>
        <n v="6"/>
        <n v="20"/>
        <n v="45"/>
        <n v="66"/>
        <n v="82"/>
        <n v="100"/>
        <n v="199"/>
        <n v="93"/>
        <n v="142"/>
        <n v="36"/>
        <n v="79"/>
        <n v="1"/>
        <n v="60"/>
        <n v="96"/>
        <n v="5"/>
        <n v="90"/>
        <n v="99"/>
        <n v="132"/>
        <n v="57"/>
        <n v="154"/>
        <n v="80"/>
        <n v="186"/>
        <n v="395"/>
        <n v="22"/>
        <n v="88"/>
        <n v="187"/>
        <n v="302"/>
        <n v="304"/>
        <n v="474"/>
        <n v="114"/>
        <n v="227"/>
        <n v="482"/>
        <n v="325"/>
        <n v="378"/>
        <n v="34"/>
        <n v="33"/>
        <n v="412"/>
        <n v="397"/>
        <n v="655"/>
        <n v="790"/>
        <n v="219"/>
        <n v="510"/>
        <n v="128"/>
        <n v="50"/>
        <n v="734"/>
        <n v="110"/>
        <n v="396"/>
        <n v="498"/>
        <n v="540"/>
        <n v="604"/>
        <n v="935"/>
        <n v="354"/>
        <n v="504"/>
        <n v="247"/>
        <n v="694"/>
        <n v="126"/>
        <n v="630"/>
        <n v="916"/>
        <n v="28"/>
        <n v="122"/>
        <n v="1061"/>
        <n v="384"/>
        <n v="923"/>
        <n v="666"/>
        <n v="720"/>
        <n v="432"/>
        <n v="816"/>
        <n v="292"/>
        <n v="833"/>
        <n v="416"/>
        <n v="652"/>
        <n v="594"/>
        <n v="162"/>
        <n v="442"/>
        <n v="746"/>
        <n v="606"/>
        <n v="974"/>
        <n v="216"/>
        <n v="795"/>
        <n v="756"/>
        <n v="61"/>
        <n v="1313"/>
        <n v="480"/>
        <n v="599"/>
        <n v="1020"/>
        <n v="1032"/>
        <n v="840"/>
        <n v="726"/>
        <n v="281"/>
        <n v="1666"/>
        <n v="1082"/>
        <n v="185"/>
        <n v="264"/>
        <n v="924"/>
        <n v="853"/>
        <n v="359"/>
        <n v="732"/>
        <n v="1094"/>
        <n v="1003"/>
        <n v="1224"/>
        <n v="116"/>
        <n v="113"/>
        <n v="822"/>
        <n v="1678"/>
        <n v="89"/>
        <n v="67"/>
        <n v="65"/>
        <n v="180"/>
        <n v="124"/>
        <n v="12"/>
        <n v="236"/>
        <n v="168"/>
        <n v="37"/>
        <n v="31"/>
        <n v="42"/>
        <n v="52"/>
        <n v="38"/>
        <n v="15"/>
        <n v="17"/>
        <n v="2"/>
        <n v="11"/>
        <n v="73"/>
        <n v="21"/>
      </sharedItems>
    </cacheField>
    <cacheField name="orders" numFmtId="0">
      <sharedItems containsSemiMixedTypes="0" containsString="0" containsNumber="1" containsInteger="1" minValue="0" maxValue="369" count="88">
        <n v="1"/>
        <n v="3"/>
        <n v="10"/>
        <n v="2"/>
        <n v="7"/>
        <n v="0"/>
        <n v="4"/>
        <n v="17"/>
        <n v="9"/>
        <n v="13"/>
        <n v="12"/>
        <n v="16"/>
        <n v="91"/>
        <n v="15"/>
        <n v="36"/>
        <n v="51"/>
        <n v="31"/>
        <n v="89"/>
        <n v="27"/>
        <n v="38"/>
        <n v="60"/>
        <n v="42"/>
        <n v="23"/>
        <n v="14"/>
        <n v="146"/>
        <n v="76"/>
        <n v="5"/>
        <n v="21"/>
        <n v="8"/>
        <n v="119"/>
        <n v="6"/>
        <n v="11"/>
        <n v="18"/>
        <n v="19"/>
        <n v="34"/>
        <n v="28"/>
        <n v="95"/>
        <n v="29"/>
        <n v="57"/>
        <n v="32"/>
        <n v="61"/>
        <n v="79"/>
        <n v="49"/>
        <n v="52"/>
        <n v="56"/>
        <n v="158"/>
        <n v="26"/>
        <n v="118"/>
        <n v="30"/>
        <n v="48"/>
        <n v="85"/>
        <n v="72"/>
        <n v="54"/>
        <n v="53"/>
        <n v="81"/>
        <n v="98"/>
        <n v="45"/>
        <n v="24"/>
        <n v="171"/>
        <n v="64"/>
        <n v="80"/>
        <n v="22"/>
        <n v="67"/>
        <n v="128"/>
        <n v="39"/>
        <n v="160"/>
        <n v="62"/>
        <n v="86"/>
        <n v="44"/>
        <n v="149"/>
        <n v="73"/>
        <n v="46"/>
        <n v="142"/>
        <n v="43"/>
        <n v="134"/>
        <n v="114"/>
        <n v="58"/>
        <n v="20"/>
        <n v="369"/>
        <n v="96"/>
        <n v="104"/>
        <n v="139"/>
        <n v="68"/>
        <n v="47"/>
        <n v="182"/>
        <n v="137"/>
        <n v="252"/>
        <n v="35"/>
      </sharedItems>
    </cacheField>
    <cacheField name="Conversion_1" numFmtId="0">
      <sharedItems containsSemiMixedTypes="0" containsString="0" containsNumber="1" minValue="0" maxValue="4.5454545454545456E-2"/>
    </cacheField>
    <cacheField name="CTR" numFmtId="0">
      <sharedItems containsSemiMixedTypes="0" containsString="0" containsNumber="1" minValue="7.9424768592833953E-5" maxValue="3.3555917176364962E-2"/>
    </cacheField>
    <cacheField name="Conversion_2" numFmtId="0">
      <sharedItems containsSemiMixedTypes="0" containsString="0" containsNumber="1" minValue="0" maxValue="0.33333333333333331"/>
    </cacheField>
    <cacheField name="AOV" numFmtId="0">
      <sharedItems containsSemiMixedTypes="0" containsString="0" containsNumber="1" minValue="0" maxValue="8980"/>
    </cacheField>
    <cacheField name="CPC" numFmtId="0">
      <sharedItems containsSemiMixedTypes="0" containsString="0" containsNumber="1" minValue="4.3053293856402663E-2" maxValue="54.772954924874789"/>
    </cacheField>
    <cacheField name="CPL" numFmtId="0">
      <sharedItems containsSemiMixedTypes="0" containsString="0" containsNumber="1" minValue="0" maxValue="1694.8591549295775"/>
    </cacheField>
    <cacheField name="CAC" numFmtId="0">
      <sharedItems containsSemiMixedTypes="0" containsString="0" containsNumber="1" minValue="0" maxValue="10104.9"/>
    </cacheField>
    <cacheField name="Gross_Profit" numFmtId="0">
      <sharedItems containsSemiMixedTypes="0" containsString="0" containsNumber="1" minValue="-360030" maxValue="1932163" count="308">
        <n v="-2326.37"/>
        <n v="-1338.2000000000007"/>
        <n v="2759.3999999999996"/>
        <n v="-3923"/>
        <n v="54527.8"/>
        <n v="8402.99"/>
        <n v="-1667.9"/>
        <n v="3687.45"/>
        <n v="-12835.8"/>
        <n v="15476.900000000001"/>
        <n v="-931.99"/>
        <n v="-573.29999999999927"/>
        <n v="-2198.0500000000002"/>
        <n v="12496.3"/>
        <n v="-2613.6000000000004"/>
        <n v="106839.9"/>
        <n v="16503.900000000001"/>
        <n v="-1421.34"/>
        <n v="-169.75"/>
        <n v="-7700.07"/>
        <n v="546.89999999999964"/>
        <n v="5593.1999999999971"/>
        <n v="7242.5999999999985"/>
        <n v="-19186.300000000003"/>
        <n v="38510.5"/>
        <n v="-10745.900000000001"/>
        <n v="583158"/>
        <n v="22090.199999999997"/>
        <n v="9784.1000000000058"/>
        <n v="18520.489999999998"/>
        <n v="-71109.399999999994"/>
        <n v="59695"/>
        <n v="22374.7"/>
        <n v="-19503"/>
        <n v="-32480"/>
        <n v="27319.4"/>
        <n v="-1118.8000000000029"/>
        <n v="439695"/>
        <n v="75009"/>
        <n v="-16347.199999999997"/>
        <n v="4401.25"/>
        <n v="-113471"/>
        <n v="75263"/>
        <n v="26794"/>
        <n v="-6014.6999999999971"/>
        <n v="-51845"/>
        <n v="80951.399999999994"/>
        <n v="-7231.1999999999971"/>
        <n v="722613"/>
        <n v="196250"/>
        <n v="-5664.7999999999993"/>
        <n v="20269.260000000002"/>
        <n v="-183297"/>
        <n v="11384.300000000003"/>
        <n v="43318"/>
        <n v="5744.0999999999985"/>
        <n v="-17443.599999999999"/>
        <n v="1367.13"/>
        <n v="-9390"/>
        <n v="134515.6"/>
        <n v="2296.4699999999998"/>
        <n v="111.60000000000036"/>
        <n v="4071.85"/>
        <n v="-22853"/>
        <n v="1160.7900000000009"/>
        <n v="10634.800000000003"/>
        <n v="-2409.4000000000015"/>
        <n v="-14750.599999999999"/>
        <n v="7726"/>
        <n v="-257.09999999999854"/>
        <n v="88034.9"/>
        <n v="27825.1"/>
        <n v="-2785.9399999999996"/>
        <n v="1545.56"/>
        <n v="-9123.9"/>
        <n v="21908.400000000001"/>
        <n v="10516.300000000003"/>
        <n v="-4865.4000000000015"/>
        <n v="-5082.8000000000029"/>
        <n v="9321.15"/>
        <n v="427.5"/>
        <n v="86283.4"/>
        <n v="-330.76"/>
        <n v="-76.300000000000182"/>
        <n v="5699.96"/>
        <n v="-35194"/>
        <n v="13872.7"/>
        <n v="10396.099999999999"/>
        <n v="-6223.5"/>
        <n v="-7328.4000000000015"/>
        <n v="4902.79"/>
        <n v="-5394.2999999999993"/>
        <n v="115825"/>
        <n v="9483"/>
        <n v="-1455.2600000000002"/>
        <n v="2200.63"/>
        <n v="-26148.400000000001"/>
        <n v="31817.599999999999"/>
        <n v="6527.3000000000029"/>
        <n v="-986.40000000000146"/>
        <n v="-8998.9000000000015"/>
        <n v="34840.9"/>
        <n v="-24979.800000000003"/>
        <n v="110936.6"/>
        <n v="44843.7"/>
        <n v="-6223.9"/>
        <n v="14352"/>
        <n v="-116521"/>
        <n v="16987"/>
        <n v="17161"/>
        <n v="-456"/>
        <n v="-57448"/>
        <n v="22769.599999999999"/>
        <n v="-9436.5"/>
        <n v="634659"/>
        <n v="-348.99"/>
        <n v="-1367.7299999999996"/>
        <n v="12174.900000000001"/>
        <n v="-5494.15"/>
        <n v="15118"/>
        <n v="33793"/>
        <n v="-13841"/>
        <n v="-15210"/>
        <n v="62964.7"/>
        <n v="-30094.100000000006"/>
        <n v="365189"/>
        <n v="26863.1"/>
        <n v="-19345.300000000003"/>
        <n v="28569.7"/>
        <n v="-37635.9"/>
        <n v="84927"/>
        <n v="49868"/>
        <n v="33188"/>
        <n v="-63260"/>
        <n v="91071.9"/>
        <n v="-93474"/>
        <n v="1091505"/>
        <n v="87539.199999999997"/>
        <n v="-6522.7999999999993"/>
        <n v="10460.92"/>
        <n v="-147297"/>
        <n v="11205.900000000001"/>
        <n v="-36931"/>
        <n v="3315.0999999999985"/>
        <n v="-48518"/>
        <n v="27742.699999999997"/>
        <n v="-95718"/>
        <n v="501799"/>
        <n v="64508"/>
        <n v="-98510"/>
        <n v="6137.66"/>
        <n v="-156439"/>
        <n v="100947"/>
        <n v="10782"/>
        <n v="-18634"/>
        <n v="-190115"/>
        <n v="55142.3"/>
        <n v="-32443"/>
        <n v="630658"/>
        <n v="132876"/>
        <n v="-15307.599999999999"/>
        <n v="10295.5"/>
        <n v="-5846.76"/>
        <n v="20940"/>
        <n v="266410"/>
        <n v="-56579"/>
        <n v="-203016"/>
        <n v="83429"/>
        <n v="-72179"/>
        <n v="800312"/>
        <n v="28292"/>
        <n v="-62307"/>
        <n v="28060"/>
        <n v="-319772"/>
        <n v="318457"/>
        <n v="40398"/>
        <n v="-61465"/>
        <n v="-99850"/>
        <n v="111513"/>
        <n v="-43515"/>
        <n v="825359"/>
        <n v="250523"/>
        <n v="-40919"/>
        <n v="14018.5"/>
        <n v="-259862"/>
        <n v="130133"/>
        <n v="41904"/>
        <n v="-5206.2000000000007"/>
        <n v="-135583"/>
        <n v="94826"/>
        <n v="-107633"/>
        <n v="170374.1"/>
        <n v="189244"/>
        <n v="-22580.400000000001"/>
        <n v="16753.3"/>
        <n v="-153914"/>
        <n v="278100"/>
        <n v="176685"/>
        <n v="-8703.9000000000015"/>
        <n v="-126478"/>
        <n v="6184.4500000000007"/>
        <n v="-9323.5"/>
        <n v="1932163"/>
        <n v="273401"/>
        <n v="-6287.98"/>
        <n v="2025.5900000000001"/>
        <n v="-360030"/>
        <n v="114987"/>
        <n v="64291"/>
        <n v="2897.8000000000029"/>
        <n v="-68707"/>
        <n v="174909"/>
        <n v="-182330"/>
        <n v="1148680"/>
        <n v="442329"/>
        <n v="-76673"/>
        <n v="45956.5"/>
        <n v="-155383"/>
        <n v="177821"/>
        <n v="252849"/>
        <n v="-7502.6999999999971"/>
        <n v="-9943"/>
        <n v="6517.8799999999992"/>
        <n v="-4566.2000000000007"/>
        <n v="128819"/>
        <n v="26082.5"/>
        <n v="-4579.5"/>
        <n v="2437.04"/>
        <n v="-28245.9"/>
        <n v="19670.699999999997"/>
        <n v="6686.7999999999993"/>
        <n v="7922"/>
        <n v="-25802.199999999997"/>
        <n v="28399.599999999999"/>
        <n v="-424.29999999999927"/>
        <n v="281590.2"/>
        <n v="20354.300000000003"/>
        <n v="-4594.5999999999985"/>
        <n v="6375.52"/>
        <n v="-45897.3"/>
        <n v="20958"/>
        <n v="20578.400000000001"/>
        <n v="103.71999999999935"/>
        <n v="-7125"/>
        <n v="9640.7900000000009"/>
        <n v="-3638.6000000000004"/>
        <n v="47505"/>
        <n v="-557.25"/>
        <n v="-1351.4399999999996"/>
        <n v="4026.91"/>
        <n v="-13358.6"/>
        <n v="2381"/>
        <n v="7179.5999999999985"/>
        <n v="-12739.199999999997"/>
        <n v="-9480.1999999999971"/>
        <n v="9636.7999999999993"/>
        <n v="-3297.5999999999985"/>
        <n v="88789.7"/>
        <n v="12547.599999999999"/>
        <n v="-8085"/>
        <n v="2123.9"/>
        <n v="-40618.6"/>
        <n v="2517.5"/>
        <n v="29526.1"/>
        <n v="-1126.2000000000007"/>
        <n v="-395"/>
        <n v="-1078.73"/>
        <n v="-3742.2199999999993"/>
        <n v="28995.09"/>
        <n v="3676.99"/>
        <n v="-78.0300000000002"/>
        <n v="2973.5299999999997"/>
        <n v="-4890.29"/>
        <n v="3902.4700000000003"/>
        <n v="4359.34"/>
        <n v="2600.2999999999993"/>
        <n v="-2590.4000000000015"/>
        <n v="-1545.74"/>
        <n v="-2170.1000000000004"/>
        <n v="88891.8"/>
        <n v="13963.6"/>
        <n v="-422.53999999999996"/>
        <n v="3909.84"/>
        <n v="-315.92"/>
        <n v="9609"/>
        <n v="4125.2700000000004"/>
        <n v="-780.32999999999993"/>
        <n v="-3235.77"/>
        <n v="-1754.25"/>
        <n v="-1487.24"/>
        <n v="18221.169999999998"/>
        <n v="4148.84"/>
        <n v="-254.14"/>
        <n v="-200.42"/>
        <n v="-3098.45"/>
        <n v="1136.92"/>
        <n v="1189.94"/>
        <n v="-1459.5"/>
        <n v="-3156.5499999999993"/>
        <n v="5184.2700000000004"/>
        <n v="-384.75"/>
        <n v="27557.23"/>
        <n v="1030.2600000000002"/>
        <n v="-760.75"/>
        <n v="-224.81"/>
        <n v="-5353.8"/>
        <n v="162.35000000000036"/>
        <n v="207.38000000000011"/>
      </sharedItems>
    </cacheField>
    <cacheField name="ROMI" numFmtId="0">
      <sharedItems containsSemiMixedTypes="0" containsString="0" containsNumber="1" minValue="-1" maxValue="5.593987313049003"/>
    </cacheField>
    <cacheField name="revenue" numFmtId="0">
      <sharedItems containsSemiMixedTypes="0" containsString="0" containsNumber="1" containsInteger="1" minValue="0" maxValue="2812520"/>
    </cacheField>
    <cacheField name="Campaign_ROMI" numFmtId="0" formula="Gross_Profit/mark_spent" databaseField="0"/>
  </cacheFields>
  <extLst>
    <ext xmlns:x14="http://schemas.microsoft.com/office/spreadsheetml/2009/9/main" uri="{725AE2AE-9491-48be-B2B4-4EB974FC3084}">
      <x14:pivotCacheDefinition pivotCacheId="1569633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x v="0"/>
    <x v="0"/>
    <x v="0"/>
    <x v="0"/>
    <x v="0"/>
    <n v="349043"/>
    <n v="148263"/>
    <x v="0"/>
    <x v="0"/>
    <x v="0"/>
    <x v="0"/>
    <n v="1.0743801652892562E-2"/>
    <n v="8.1611730505925274E-3"/>
    <n v="7.6923076923076927E-2"/>
    <n v="4981"/>
    <n v="6.039148760330578"/>
    <n v="562.10538461538465"/>
    <n v="7307.37"/>
    <x v="0"/>
    <n v="-0.31835940974659827"/>
    <n v="4981"/>
  </r>
  <r>
    <n v="2"/>
    <x v="0"/>
    <x v="0"/>
    <x v="1"/>
    <x v="1"/>
    <x v="0"/>
    <n v="348934"/>
    <n v="220688"/>
    <x v="1"/>
    <x v="1"/>
    <x v="1"/>
    <x v="1"/>
    <n v="2.9268292682926831E-2"/>
    <n v="7.4313057347930112E-3"/>
    <n v="6.25E-2"/>
    <n v="4987.333333333333"/>
    <n v="9.9391463414634149"/>
    <n v="339.58750000000003"/>
    <n v="5433.4000000000005"/>
    <x v="1"/>
    <n v="-8.209715218218186E-2"/>
    <n v="14962"/>
  </r>
  <r>
    <n v="3"/>
    <x v="0"/>
    <x v="0"/>
    <x v="2"/>
    <x v="2"/>
    <x v="1"/>
    <n v="89459845"/>
    <n v="22850"/>
    <x v="2"/>
    <x v="2"/>
    <x v="2"/>
    <x v="0"/>
    <n v="1.9693654266958426E-2"/>
    <n v="0.02"/>
    <n v="0.1111111111111111"/>
    <n v="7981"/>
    <n v="11.42582056892779"/>
    <n v="580.17777777777781"/>
    <n v="5221.6000000000004"/>
    <x v="2"/>
    <n v="0.52845870997395428"/>
    <n v="7981"/>
  </r>
  <r>
    <n v="4"/>
    <x v="0"/>
    <x v="0"/>
    <x v="3"/>
    <x v="2"/>
    <x v="1"/>
    <n v="127823"/>
    <n v="147038"/>
    <x v="3"/>
    <x v="3"/>
    <x v="3"/>
    <x v="0"/>
    <n v="2.0066889632107024E-2"/>
    <n v="8.1339517675702872E-3"/>
    <n v="4.1666666666666664E-2"/>
    <n v="2114"/>
    <n v="5.0476588628762542"/>
    <n v="251.54166666666666"/>
    <n v="6037"/>
    <x v="3"/>
    <n v="-0.64982607255259239"/>
    <n v="2114"/>
  </r>
  <r>
    <n v="5"/>
    <x v="0"/>
    <x v="0"/>
    <x v="4"/>
    <x v="2"/>
    <x v="2"/>
    <n v="10934"/>
    <n v="225800"/>
    <x v="4"/>
    <x v="4"/>
    <x v="4"/>
    <x v="2"/>
    <n v="2.1700620017714792E-2"/>
    <n v="0.01"/>
    <n v="0.20408163265306123"/>
    <n v="8449"/>
    <n v="13.269353410097432"/>
    <n v="611.47346938775513"/>
    <n v="2996.2200000000003"/>
    <x v="4"/>
    <n v="1.8198863901849665"/>
    <n v="84490"/>
  </r>
  <r>
    <n v="6"/>
    <x v="0"/>
    <x v="0"/>
    <x v="5"/>
    <x v="0"/>
    <x v="0"/>
    <n v="9034945"/>
    <n v="444857"/>
    <x v="5"/>
    <x v="5"/>
    <x v="5"/>
    <x v="1"/>
    <n v="2.0119225037257823E-2"/>
    <n v="3.0166997484584934E-3"/>
    <n v="0.1111111111111111"/>
    <n v="5981"/>
    <n v="7.1088002980625937"/>
    <n v="353.33370370370369"/>
    <n v="3180.0033333333336"/>
    <x v="5"/>
    <n v="0.8808156385580308"/>
    <n v="17943"/>
  </r>
  <r>
    <n v="7"/>
    <x v="0"/>
    <x v="0"/>
    <x v="6"/>
    <x v="1"/>
    <x v="0"/>
    <n v="983498"/>
    <n v="511200"/>
    <x v="6"/>
    <x v="6"/>
    <x v="6"/>
    <x v="0"/>
    <n v="3.6776212832550864E-2"/>
    <n v="5.0000000000000001E-3"/>
    <n v="1.0638297872340425E-2"/>
    <n v="1981"/>
    <n v="1.4275821596244131"/>
    <n v="38.818085106382981"/>
    <n v="3648.9"/>
    <x v="6"/>
    <n v="-0.45709665926717641"/>
    <n v="1981"/>
  </r>
  <r>
    <n v="8"/>
    <x v="0"/>
    <x v="0"/>
    <x v="7"/>
    <x v="2"/>
    <x v="0"/>
    <n v="4387490"/>
    <n v="5544"/>
    <x v="7"/>
    <x v="7"/>
    <x v="7"/>
    <x v="0"/>
    <n v="2.0270270270270271E-2"/>
    <n v="2.6695526695526696E-2"/>
    <n v="0.33333333333333331"/>
    <n v="4981"/>
    <n v="8.7402027027027032"/>
    <n v="431.18333333333334"/>
    <n v="1293.55"/>
    <x v="7"/>
    <n v="2.8506435777511498"/>
    <n v="4981"/>
  </r>
  <r>
    <n v="9"/>
    <x v="0"/>
    <x v="0"/>
    <x v="8"/>
    <x v="2"/>
    <x v="0"/>
    <n v="544756"/>
    <n v="56916"/>
    <x v="8"/>
    <x v="8"/>
    <x v="8"/>
    <x v="3"/>
    <n v="2.3489932885906041E-2"/>
    <n v="1.0471572141401363E-2"/>
    <n v="0.14285714285714285"/>
    <n v="2081"/>
    <n v="28.51979865771812"/>
    <n v="1214.1285714285714"/>
    <n v="8498.9"/>
    <x v="8"/>
    <n v="-0.75514478344256319"/>
    <n v="4162"/>
  </r>
  <r>
    <n v="10"/>
    <x v="0"/>
    <x v="0"/>
    <x v="9"/>
    <x v="2"/>
    <x v="2"/>
    <n v="374754"/>
    <n v="120436"/>
    <x v="9"/>
    <x v="9"/>
    <x v="4"/>
    <x v="4"/>
    <n v="3.2710280373831772E-2"/>
    <n v="1.2438141419509116E-2"/>
    <n v="0.14285714285714285"/>
    <n v="5583"/>
    <n v="15.757076101468623"/>
    <n v="481.71632653061221"/>
    <n v="3372.0142857142855"/>
    <x v="9"/>
    <n v="0.65568693574421399"/>
    <n v="39081"/>
  </r>
  <r>
    <n v="11"/>
    <x v="0"/>
    <x v="0"/>
    <x v="10"/>
    <x v="2"/>
    <x v="3"/>
    <n v="39889"/>
    <n v="20900000"/>
    <x v="10"/>
    <x v="10"/>
    <x v="7"/>
    <x v="5"/>
    <n v="1.4354066985645933E-3"/>
    <n v="1E-4"/>
    <n v="0"/>
    <n v="0"/>
    <n v="0.44592822966507178"/>
    <n v="310.66333333333336"/>
    <n v="0"/>
    <x v="10"/>
    <n v="-1"/>
    <n v="0"/>
  </r>
  <r>
    <n v="12"/>
    <x v="1"/>
    <x v="0"/>
    <x v="0"/>
    <x v="0"/>
    <x v="0"/>
    <n v="349043"/>
    <n v="478200"/>
    <x v="11"/>
    <x v="11"/>
    <x v="1"/>
    <x v="6"/>
    <n v="2.0075282308657464E-2"/>
    <n v="5.0000000000000001E-3"/>
    <n v="8.3333333333333329E-2"/>
    <n v="4453"/>
    <n v="7.6893768297783351"/>
    <n v="383.02708333333334"/>
    <n v="4596.3249999999998"/>
    <x v="11"/>
    <n v="-3.1182520818262376E-2"/>
    <n v="17812"/>
  </r>
  <r>
    <n v="13"/>
    <x v="1"/>
    <x v="0"/>
    <x v="1"/>
    <x v="1"/>
    <x v="0"/>
    <n v="348934"/>
    <n v="957806"/>
    <x v="12"/>
    <x v="12"/>
    <x v="9"/>
    <x v="5"/>
    <n v="3.0358227079538553E-3"/>
    <n v="3.4391097988527948E-3"/>
    <n v="0"/>
    <n v="0"/>
    <n v="0.66728901032179722"/>
    <n v="219.80500000000001"/>
    <n v="0"/>
    <x v="12"/>
    <n v="-1"/>
    <n v="0"/>
  </r>
  <r>
    <n v="14"/>
    <x v="1"/>
    <x v="0"/>
    <x v="2"/>
    <x v="2"/>
    <x v="1"/>
    <n v="89459845"/>
    <n v="43806"/>
    <x v="13"/>
    <x v="13"/>
    <x v="10"/>
    <x v="1"/>
    <n v="1.9845644983461964E-2"/>
    <n v="2.0704926265808336E-2"/>
    <n v="0.16666666666666666"/>
    <n v="7981"/>
    <n v="12.62039691289967"/>
    <n v="635.92777777777781"/>
    <n v="3815.5666666666671"/>
    <x v="13"/>
    <n v="1.0916945495208226"/>
    <n v="23943"/>
  </r>
  <r>
    <n v="15"/>
    <x v="1"/>
    <x v="0"/>
    <x v="3"/>
    <x v="2"/>
    <x v="1"/>
    <n v="127823"/>
    <n v="314704"/>
    <x v="14"/>
    <x v="14"/>
    <x v="11"/>
    <x v="6"/>
    <n v="1.6283924843423801E-2"/>
    <n v="7.6103258935380546E-3"/>
    <n v="0.10256410256410256"/>
    <n v="3135"/>
    <n v="6.3271816283924842"/>
    <n v="388.55384615384617"/>
    <n v="3788.4"/>
    <x v="14"/>
    <n v="-0.17247386759581884"/>
    <n v="12540"/>
  </r>
  <r>
    <n v="16"/>
    <x v="1"/>
    <x v="0"/>
    <x v="4"/>
    <x v="2"/>
    <x v="2"/>
    <n v="10934"/>
    <n v="449200"/>
    <x v="15"/>
    <x v="15"/>
    <x v="12"/>
    <x v="7"/>
    <n v="1.8922528940338381E-2"/>
    <n v="0.01"/>
    <n v="0.2"/>
    <n v="8773"/>
    <n v="9.416985752448797"/>
    <n v="497.65999999999997"/>
    <n v="2488.2999999999997"/>
    <x v="15"/>
    <n v="2.5257002772977533"/>
    <n v="149141"/>
  </r>
  <r>
    <n v="17"/>
    <x v="1"/>
    <x v="0"/>
    <x v="5"/>
    <x v="0"/>
    <x v="0"/>
    <n v="9034945"/>
    <n v="540200"/>
    <x v="16"/>
    <x v="16"/>
    <x v="13"/>
    <x v="8"/>
    <n v="1.9992595335061088E-2"/>
    <n v="5.0000000000000001E-3"/>
    <n v="0.16666666666666666"/>
    <n v="5065"/>
    <n v="10.766790077748981"/>
    <n v="538.53888888888889"/>
    <n v="3231.2333333333331"/>
    <x v="16"/>
    <n v="0.56751292076296989"/>
    <n v="45585"/>
  </r>
  <r>
    <n v="18"/>
    <x v="1"/>
    <x v="0"/>
    <x v="6"/>
    <x v="1"/>
    <x v="0"/>
    <n v="983498"/>
    <n v="1020800"/>
    <x v="17"/>
    <x v="17"/>
    <x v="8"/>
    <x v="5"/>
    <n v="2.7429467084639498E-3"/>
    <n v="5.0000000000000001E-3"/>
    <n v="0"/>
    <n v="0"/>
    <n v="0.27847570532915361"/>
    <n v="101.52428571428571"/>
    <n v="0"/>
    <x v="17"/>
    <n v="-1"/>
    <n v="0"/>
  </r>
  <r>
    <n v="19"/>
    <x v="1"/>
    <x v="0"/>
    <x v="7"/>
    <x v="2"/>
    <x v="0"/>
    <n v="4387490"/>
    <n v="10033"/>
    <x v="18"/>
    <x v="18"/>
    <x v="14"/>
    <x v="5"/>
    <n v="0"/>
    <n v="3.000099671085418E-2"/>
    <n v="0"/>
    <n v="0"/>
    <n v="0.56395348837209303"/>
    <n v="0"/>
    <n v="0"/>
    <x v="18"/>
    <n v="-1"/>
    <n v="0"/>
  </r>
  <r>
    <n v="20"/>
    <x v="1"/>
    <x v="0"/>
    <x v="8"/>
    <x v="2"/>
    <x v="0"/>
    <n v="544756"/>
    <n v="107553"/>
    <x v="19"/>
    <x v="3"/>
    <x v="15"/>
    <x v="0"/>
    <n v="5.8528428093645481E-3"/>
    <n v="1.1120098927970397E-2"/>
    <n v="0.14285714285714285"/>
    <n v="1129"/>
    <n v="7.3821655518394644"/>
    <n v="1261.2957142857142"/>
    <n v="8829.07"/>
    <x v="19"/>
    <n v="-0.87212696240940435"/>
    <n v="1129"/>
  </r>
  <r>
    <n v="21"/>
    <x v="1"/>
    <x v="0"/>
    <x v="9"/>
    <x v="2"/>
    <x v="2"/>
    <n v="374754"/>
    <n v="299600"/>
    <x v="20"/>
    <x v="19"/>
    <x v="16"/>
    <x v="1"/>
    <n v="6.3417890520694256E-3"/>
    <n v="0.01"/>
    <n v="0.15789473684210525"/>
    <n v="4822"/>
    <n v="4.6458945260347129"/>
    <n v="732.58421052631581"/>
    <n v="4639.7"/>
    <x v="20"/>
    <n v="3.9291333491389503E-2"/>
    <n v="14466"/>
  </r>
  <r>
    <n v="22"/>
    <x v="1"/>
    <x v="0"/>
    <x v="10"/>
    <x v="2"/>
    <x v="3"/>
    <n v="39889"/>
    <n v="42000000"/>
    <x v="21"/>
    <x v="20"/>
    <x v="17"/>
    <x v="9"/>
    <n v="2.1904761904761906E-2"/>
    <n v="1E-4"/>
    <n v="0.14130434782608695"/>
    <n v="3981"/>
    <n v="10.990428571428572"/>
    <n v="501.73695652173916"/>
    <n v="3550.7538461538466"/>
    <x v="21"/>
    <n v="0.12117036902239604"/>
    <n v="51753"/>
  </r>
  <r>
    <n v="23"/>
    <x v="2"/>
    <x v="0"/>
    <x v="0"/>
    <x v="0"/>
    <x v="0"/>
    <n v="349043"/>
    <n v="2313889"/>
    <x v="22"/>
    <x v="21"/>
    <x v="18"/>
    <x v="9"/>
    <n v="1.597888008892594E-2"/>
    <n v="3.1103479898992562E-3"/>
    <n v="0.11304347826086956"/>
    <n v="5579"/>
    <n v="9.0710573850215361"/>
    <n v="567.69043478260869"/>
    <n v="5021.876923076923"/>
    <x v="22"/>
    <n v="0.11093921365594228"/>
    <n v="72527"/>
  </r>
  <r>
    <n v="24"/>
    <x v="2"/>
    <x v="0"/>
    <x v="1"/>
    <x v="1"/>
    <x v="0"/>
    <n v="348934"/>
    <n v="1105666"/>
    <x v="23"/>
    <x v="22"/>
    <x v="19"/>
    <x v="10"/>
    <n v="2.2832895534451406E-2"/>
    <n v="8.9520705167745046E-3"/>
    <n v="5.3097345132743362E-2"/>
    <n v="4981"/>
    <n v="7.9771974136189128"/>
    <n v="349.37300884955755"/>
    <n v="6579.8583333333336"/>
    <x v="23"/>
    <n v="-0.24299282026082125"/>
    <n v="59772"/>
  </r>
  <r>
    <n v="25"/>
    <x v="2"/>
    <x v="0"/>
    <x v="2"/>
    <x v="2"/>
    <x v="1"/>
    <n v="89459845"/>
    <n v="134900"/>
    <x v="24"/>
    <x v="23"/>
    <x v="20"/>
    <x v="11"/>
    <n v="3.1134173461823574E-2"/>
    <n v="0.02"/>
    <n v="0.19047619047619047"/>
    <n v="7241"/>
    <n v="28.667716827279467"/>
    <n v="920.77976190476193"/>
    <n v="4834.09375"/>
    <x v="24"/>
    <n v="0.49790226968601925"/>
    <n v="115856"/>
  </r>
  <r>
    <n v="26"/>
    <x v="2"/>
    <x v="0"/>
    <x v="3"/>
    <x v="2"/>
    <x v="1"/>
    <n v="127823"/>
    <n v="4371854"/>
    <x v="25"/>
    <x v="24"/>
    <x v="21"/>
    <x v="9"/>
    <n v="1.9980574441515193E-2"/>
    <n v="1.6484996982973356E-3"/>
    <n v="9.0277777777777776E-2"/>
    <n v="2981"/>
    <n v="6.8681698348827531"/>
    <n v="343.74236111111111"/>
    <n v="3807.6076923076926"/>
    <x v="25"/>
    <n v="-0.21709371319362655"/>
    <n v="38753"/>
  </r>
  <r>
    <n v="27"/>
    <x v="2"/>
    <x v="0"/>
    <x v="4"/>
    <x v="2"/>
    <x v="2"/>
    <n v="10934"/>
    <n v="1035261"/>
    <x v="26"/>
    <x v="25"/>
    <x v="22"/>
    <x v="12"/>
    <n v="3.3696215655780196E-2"/>
    <n v="1.3043087685134474E-2"/>
    <n v="0.2"/>
    <n v="8489"/>
    <n v="14.022143227430941"/>
    <n v="416.13406593406592"/>
    <n v="2080.6703296703295"/>
    <x v="26"/>
    <n v="3.0799351434713031"/>
    <n v="772499"/>
  </r>
  <r>
    <n v="28"/>
    <x v="2"/>
    <x v="0"/>
    <x v="5"/>
    <x v="0"/>
    <x v="0"/>
    <n v="9034945"/>
    <n v="1618600"/>
    <x v="27"/>
    <x v="26"/>
    <x v="23"/>
    <x v="13"/>
    <n v="2.0511553194118372E-2"/>
    <n v="5.0000000000000001E-3"/>
    <n v="9.036144578313253E-2"/>
    <n v="5640"/>
    <n v="7.7239342641789204"/>
    <n v="376.56506024096387"/>
    <n v="4167.3200000000006"/>
    <x v="27"/>
    <n v="0.35338778879471694"/>
    <n v="84600"/>
  </r>
  <r>
    <n v="29"/>
    <x v="2"/>
    <x v="0"/>
    <x v="6"/>
    <x v="1"/>
    <x v="0"/>
    <n v="983498"/>
    <n v="3059600"/>
    <x v="28"/>
    <x v="27"/>
    <x v="24"/>
    <x v="14"/>
    <n v="3.8697869002483988E-2"/>
    <n v="5.0000000000000001E-3"/>
    <n v="6.0810810810810814E-2"/>
    <n v="2894"/>
    <n v="6.170734736566871"/>
    <n v="159.45929054054054"/>
    <n v="2622.2194444444444"/>
    <x v="28"/>
    <n v="0.10364523691232731"/>
    <n v="104184"/>
  </r>
  <r>
    <n v="30"/>
    <x v="2"/>
    <x v="0"/>
    <x v="7"/>
    <x v="2"/>
    <x v="0"/>
    <n v="4387490"/>
    <n v="29867"/>
    <x v="29"/>
    <x v="28"/>
    <x v="10"/>
    <x v="6"/>
    <n v="2.0089285714285716E-2"/>
    <n v="2.9999665182308233E-2"/>
    <n v="0.22222222222222221"/>
    <n v="5890"/>
    <n v="5.6244531250000005"/>
    <n v="279.97277777777776"/>
    <n v="1259.8775000000001"/>
    <x v="29"/>
    <n v="3.6750576941012119"/>
    <n v="23560"/>
  </r>
  <r>
    <n v="31"/>
    <x v="2"/>
    <x v="0"/>
    <x v="8"/>
    <x v="2"/>
    <x v="0"/>
    <n v="544756"/>
    <n v="295009"/>
    <x v="30"/>
    <x v="29"/>
    <x v="25"/>
    <x v="8"/>
    <n v="2.0027816411682893E-2"/>
    <n v="1.2186068899592895E-2"/>
    <n v="0.125"/>
    <n v="623"/>
    <n v="21.339749652294852"/>
    <n v="1065.5055555555555"/>
    <n v="8524.0444444444438"/>
    <x v="30"/>
    <n v="-0.92691262885119741"/>
    <n v="5607"/>
  </r>
  <r>
    <n v="32"/>
    <x v="2"/>
    <x v="0"/>
    <x v="9"/>
    <x v="2"/>
    <x v="2"/>
    <n v="374754"/>
    <n v="667352"/>
    <x v="31"/>
    <x v="30"/>
    <x v="26"/>
    <x v="15"/>
    <n v="3.8016896398399287E-2"/>
    <n v="1.3480142413598821E-2"/>
    <n v="0.14912280701754385"/>
    <n v="4981"/>
    <n v="21.602489995553579"/>
    <n v="568.23391812865498"/>
    <n v="3810.5098039215686"/>
    <x v="31"/>
    <n v="0.30717417256710028"/>
    <n v="254031"/>
  </r>
  <r>
    <n v="33"/>
    <x v="2"/>
    <x v="0"/>
    <x v="10"/>
    <x v="2"/>
    <x v="3"/>
    <n v="39889"/>
    <n v="125910000"/>
    <x v="32"/>
    <x v="31"/>
    <x v="27"/>
    <x v="9"/>
    <n v="5.4006830275593679E-3"/>
    <n v="1E-4"/>
    <n v="0.19117647058823528"/>
    <n v="3981"/>
    <n v="2.3332777380668732"/>
    <n v="432.03382352941173"/>
    <n v="2259.8692307692309"/>
    <x v="32"/>
    <n v="0.76160635571152857"/>
    <n v="51753"/>
  </r>
  <r>
    <n v="34"/>
    <x v="3"/>
    <x v="0"/>
    <x v="0"/>
    <x v="0"/>
    <x v="0"/>
    <n v="349043"/>
    <n v="2475754"/>
    <x v="33"/>
    <x v="32"/>
    <x v="28"/>
    <x v="16"/>
    <n v="1.9997916883657953E-2"/>
    <n v="3.8780104970041452E-3"/>
    <n v="0.16145833333333334"/>
    <n v="4981"/>
    <n v="18.114154775544215"/>
    <n v="905.80208333333337"/>
    <n v="5610.1290322580644"/>
    <x v="33"/>
    <n v="-0.11214163322101728"/>
    <n v="154411"/>
  </r>
  <r>
    <n v="35"/>
    <x v="3"/>
    <x v="0"/>
    <x v="1"/>
    <x v="1"/>
    <x v="0"/>
    <n v="348934"/>
    <n v="4597702"/>
    <x v="34"/>
    <x v="33"/>
    <x v="29"/>
    <x v="7"/>
    <n v="1.0828411328184158E-2"/>
    <n v="2.8723044686236733E-3"/>
    <n v="0.11888111888111888"/>
    <n v="4877"/>
    <n v="8.737619263970922"/>
    <n v="806.91608391608395"/>
    <n v="6787.588235294118"/>
    <x v="34"/>
    <n v="-0.28148263699312759"/>
    <n v="82909"/>
  </r>
  <r>
    <n v="36"/>
    <x v="3"/>
    <x v="0"/>
    <x v="2"/>
    <x v="2"/>
    <x v="1"/>
    <n v="89459845"/>
    <n v="196484"/>
    <x v="35"/>
    <x v="34"/>
    <x v="30"/>
    <x v="8"/>
    <n v="1.5282022784106696E-2"/>
    <n v="1.8317013090124387E-2"/>
    <n v="0.16363636363636364"/>
    <n v="7621"/>
    <n v="11.466963045290358"/>
    <n v="750.35636363636365"/>
    <n v="4585.5111111111109"/>
    <x v="35"/>
    <n v="0.66197394692461287"/>
    <n v="68589"/>
  </r>
  <r>
    <n v="37"/>
    <x v="3"/>
    <x v="0"/>
    <x v="3"/>
    <x v="2"/>
    <x v="1"/>
    <n v="127823"/>
    <n v="1531679"/>
    <x v="36"/>
    <x v="35"/>
    <x v="31"/>
    <x v="7"/>
    <n v="2.4397873005943073E-2"/>
    <n v="6.2617558901049107E-3"/>
    <n v="7.2649572649572655E-2"/>
    <n v="3470"/>
    <n v="6.267208841622355"/>
    <n v="256.87521367521367"/>
    <n v="3535.8117647058825"/>
    <x v="36"/>
    <n v="-1.8612915247018788E-2"/>
    <n v="58990"/>
  </r>
  <r>
    <n v="38"/>
    <x v="3"/>
    <x v="0"/>
    <x v="4"/>
    <x v="2"/>
    <x v="2"/>
    <n v="10934"/>
    <n v="2120555"/>
    <x v="37"/>
    <x v="36"/>
    <x v="32"/>
    <x v="17"/>
    <n v="2.4731840160062246E-2"/>
    <n v="8.4850428307683603E-3"/>
    <n v="0.2"/>
    <n v="7022"/>
    <n v="10.296393041738455"/>
    <n v="416.32134831460672"/>
    <n v="2081.6067415730336"/>
    <x v="37"/>
    <n v="2.3733557159281671"/>
    <n v="624958"/>
  </r>
  <r>
    <n v="39"/>
    <x v="3"/>
    <x v="0"/>
    <x v="5"/>
    <x v="0"/>
    <x v="0"/>
    <n v="9034945"/>
    <n v="1322751"/>
    <x v="38"/>
    <x v="37"/>
    <x v="33"/>
    <x v="18"/>
    <n v="2.2049286640726331E-2"/>
    <n v="8.1602659911049012E-3"/>
    <n v="0.1134453781512605"/>
    <n v="6631"/>
    <n v="9.6375764313507499"/>
    <n v="437.0924369747899"/>
    <n v="3852.8888888888887"/>
    <x v="38"/>
    <n v="0.72104625677702161"/>
    <n v="179037"/>
  </r>
  <r>
    <n v="40"/>
    <x v="3"/>
    <x v="0"/>
    <x v="6"/>
    <x v="1"/>
    <x v="0"/>
    <n v="983498"/>
    <n v="3008227"/>
    <x v="39"/>
    <x v="38"/>
    <x v="34"/>
    <x v="10"/>
    <n v="2.0007846214201649E-2"/>
    <n v="6.7787437583666389E-3"/>
    <n v="2.9411764705882353E-2"/>
    <n v="1981"/>
    <n v="1.9673989799921536"/>
    <n v="98.331372549019605"/>
    <n v="3343.2666666666664"/>
    <x v="39"/>
    <n v="-0.40746575205886454"/>
    <n v="23772"/>
  </r>
  <r>
    <n v="41"/>
    <x v="3"/>
    <x v="0"/>
    <x v="7"/>
    <x v="2"/>
    <x v="0"/>
    <n v="4387490"/>
    <n v="43160"/>
    <x v="40"/>
    <x v="39"/>
    <x v="35"/>
    <x v="0"/>
    <n v="3.3500837520938024E-3"/>
    <n v="2.7664504170528268E-2"/>
    <n v="0.25"/>
    <n v="5287"/>
    <n v="0.74183417085427139"/>
    <n v="221.4375"/>
    <n v="885.75"/>
    <x v="40"/>
    <n v="4.9689528648038381"/>
    <n v="5287"/>
  </r>
  <r>
    <n v="42"/>
    <x v="3"/>
    <x v="0"/>
    <x v="8"/>
    <x v="2"/>
    <x v="0"/>
    <n v="544756"/>
    <n v="432611"/>
    <x v="41"/>
    <x v="40"/>
    <x v="36"/>
    <x v="9"/>
    <n v="1.4770126898273351E-2"/>
    <n v="1.1111599104044974E-2"/>
    <n v="0.18309859154929578"/>
    <n v="528"/>
    <n v="25.033284793010193"/>
    <n v="1694.8591549295775"/>
    <n v="9256.538461538461"/>
    <x v="41"/>
    <n v="-0.94295923879170651"/>
    <n v="6864"/>
  </r>
  <r>
    <n v="43"/>
    <x v="3"/>
    <x v="0"/>
    <x v="9"/>
    <x v="2"/>
    <x v="2"/>
    <n v="374754"/>
    <n v="1199300"/>
    <x v="42"/>
    <x v="41"/>
    <x v="37"/>
    <x v="19"/>
    <n v="2.2262986742266323E-2"/>
    <n v="0.01"/>
    <n v="0.14232209737827714"/>
    <n v="5909"/>
    <n v="12.447177520220128"/>
    <n v="559.09737827715355"/>
    <n v="3928.3947368421054"/>
    <x v="42"/>
    <n v="0.50417674287743086"/>
    <n v="224542"/>
  </r>
  <r>
    <n v="44"/>
    <x v="3"/>
    <x v="0"/>
    <x v="10"/>
    <x v="2"/>
    <x v="3"/>
    <n v="39889"/>
    <n v="41924802"/>
    <x v="43"/>
    <x v="42"/>
    <x v="38"/>
    <x v="20"/>
    <n v="1.9992859692966797E-2"/>
    <n v="4.0086056935939731E-4"/>
    <n v="0.17857142857142858"/>
    <n v="3409"/>
    <n v="10.576341782696655"/>
    <n v="529.00595238095241"/>
    <n v="2962.4333333333334"/>
    <x v="43"/>
    <n v="0.15074319534616812"/>
    <n v="204540"/>
  </r>
  <r>
    <n v="45"/>
    <x v="4"/>
    <x v="0"/>
    <x v="0"/>
    <x v="0"/>
    <x v="0"/>
    <n v="349043"/>
    <n v="3462883"/>
    <x v="44"/>
    <x v="43"/>
    <x v="29"/>
    <x v="7"/>
    <n v="1.1919646578311245E-2"/>
    <n v="3.4644543289507617E-3"/>
    <n v="0.11888111888111888"/>
    <n v="4981"/>
    <n v="7.5595315495540554"/>
    <n v="634.20769230769224"/>
    <n v="5334.8058823529409"/>
    <x v="44"/>
    <n v="-6.6320291713574647E-2"/>
    <n v="84677"/>
  </r>
  <r>
    <n v="46"/>
    <x v="4"/>
    <x v="0"/>
    <x v="1"/>
    <x v="1"/>
    <x v="0"/>
    <n v="348934"/>
    <n v="3299600"/>
    <x v="45"/>
    <x v="44"/>
    <x v="39"/>
    <x v="21"/>
    <n v="2.000242453630743E-2"/>
    <n v="5.0000000000000001E-3"/>
    <n v="0.12727272727272726"/>
    <n v="4981"/>
    <n v="15.822948236149836"/>
    <n v="791.0515151515151"/>
    <n v="6215.4047619047615"/>
    <x v="45"/>
    <n v="-0.19860408278968922"/>
    <n v="209202"/>
  </r>
  <r>
    <n v="47"/>
    <x v="4"/>
    <x v="0"/>
    <x v="2"/>
    <x v="2"/>
    <x v="1"/>
    <n v="89459845"/>
    <n v="236719"/>
    <x v="46"/>
    <x v="45"/>
    <x v="40"/>
    <x v="22"/>
    <n v="3.3525754884547072E-2"/>
    <n v="1.902677858558037E-2"/>
    <n v="0.15231788079470199"/>
    <n v="7734"/>
    <n v="21.521003552397868"/>
    <n v="641.92450331125826"/>
    <n v="4214.3739130434788"/>
    <x v="46"/>
    <n v="0.83514803374785662"/>
    <n v="177882"/>
  </r>
  <r>
    <n v="48"/>
    <x v="4"/>
    <x v="0"/>
    <x v="3"/>
    <x v="2"/>
    <x v="1"/>
    <n v="127823"/>
    <n v="9914040"/>
    <x v="47"/>
    <x v="41"/>
    <x v="41"/>
    <x v="23"/>
    <n v="1.1590094221629283E-2"/>
    <n v="1.2096985688982494E-3"/>
    <n v="0.10071942446043165"/>
    <n v="3546"/>
    <n v="4.7423663803885594"/>
    <n v="409.17410071942442"/>
    <n v="4062.5142857142855"/>
    <x v="47"/>
    <n v="-0.12714153093088021"/>
    <n v="49644"/>
  </r>
  <r>
    <n v="49"/>
    <x v="4"/>
    <x v="0"/>
    <x v="4"/>
    <x v="2"/>
    <x v="2"/>
    <n v="10934"/>
    <n v="1965108"/>
    <x v="48"/>
    <x v="46"/>
    <x v="42"/>
    <x v="24"/>
    <n v="3.2478784378193452E-2"/>
    <n v="1.1453314525206757E-2"/>
    <n v="0.19972640218878249"/>
    <n v="7981.0273972602736"/>
    <n v="19.665748433820589"/>
    <n v="605.49521203830375"/>
    <n v="3031.6232876712329"/>
    <x v="48"/>
    <n v="1.6325920604043676"/>
    <n v="1165230"/>
  </r>
  <r>
    <n v="50"/>
    <x v="4"/>
    <x v="0"/>
    <x v="5"/>
    <x v="0"/>
    <x v="0"/>
    <n v="9034945"/>
    <n v="7485780"/>
    <x v="49"/>
    <x v="47"/>
    <x v="43"/>
    <x v="25"/>
    <n v="3.8968736109053194E-2"/>
    <n v="1.8031521097333879E-3"/>
    <n v="0.14448669201520911"/>
    <n v="5981"/>
    <n v="19.136612831530599"/>
    <n v="491.0760456273764"/>
    <n v="3398.7631578947367"/>
    <x v="49"/>
    <n v="0.75975780663244374"/>
    <n v="454556"/>
  </r>
  <r>
    <n v="51"/>
    <x v="4"/>
    <x v="0"/>
    <x v="6"/>
    <x v="1"/>
    <x v="0"/>
    <n v="983498"/>
    <n v="5100600"/>
    <x v="50"/>
    <x v="48"/>
    <x v="44"/>
    <x v="6"/>
    <n v="2.9996471003411362E-2"/>
    <n v="5.0000000000000001E-3"/>
    <n v="5.2287581699346402E-3"/>
    <n v="1981"/>
    <n v="0.53283143159628277"/>
    <n v="17.763137254901959"/>
    <n v="3397.2"/>
    <x v="50"/>
    <n v="-0.41687271870952547"/>
    <n v="7924"/>
  </r>
  <r>
    <n v="52"/>
    <x v="4"/>
    <x v="0"/>
    <x v="7"/>
    <x v="2"/>
    <x v="0"/>
    <n v="4387490"/>
    <n v="48954"/>
    <x v="51"/>
    <x v="49"/>
    <x v="45"/>
    <x v="26"/>
    <n v="1.9933554817275746E-2"/>
    <n v="3.0743146627446174E-2"/>
    <n v="0.16666666666666666"/>
    <n v="5412"/>
    <n v="4.5121196013289033"/>
    <n v="226.358"/>
    <n v="1358.1479999999999"/>
    <x v="51"/>
    <n v="2.9848381766935566"/>
    <n v="27060"/>
  </r>
  <r>
    <n v="53"/>
    <x v="4"/>
    <x v="0"/>
    <x v="8"/>
    <x v="2"/>
    <x v="0"/>
    <n v="544756"/>
    <n v="600400"/>
    <x v="52"/>
    <x v="50"/>
    <x v="46"/>
    <x v="27"/>
    <n v="1.9986675549633577E-2"/>
    <n v="0.01"/>
    <n v="0.17499999999999999"/>
    <n v="452"/>
    <n v="32.110093271152564"/>
    <n v="1606.575"/>
    <n v="9180.4285714285706"/>
    <x v="52"/>
    <n v="-0.95076482579400279"/>
    <n v="9492"/>
  </r>
  <r>
    <n v="54"/>
    <x v="4"/>
    <x v="0"/>
    <x v="9"/>
    <x v="2"/>
    <x v="2"/>
    <n v="374754"/>
    <n v="2153303"/>
    <x v="53"/>
    <x v="51"/>
    <x v="47"/>
    <x v="28"/>
    <n v="3.3993201359728054E-3"/>
    <n v="6.967435609387067E-3"/>
    <n v="0.15686274509803921"/>
    <n v="5977"/>
    <n v="2.4282943411317737"/>
    <n v="714.34705882352932"/>
    <n v="4553.9624999999996"/>
    <x v="53"/>
    <n v="0.31248335927228221"/>
    <n v="47816"/>
  </r>
  <r>
    <n v="55"/>
    <x v="4"/>
    <x v="0"/>
    <x v="10"/>
    <x v="2"/>
    <x v="3"/>
    <n v="39889"/>
    <n v="8238872"/>
    <x v="54"/>
    <x v="52"/>
    <x v="48"/>
    <x v="29"/>
    <n v="3.7910177644425391E-2"/>
    <n v="2.5485284878803798E-3"/>
    <n v="0.14949748743718594"/>
    <n v="3960"/>
    <n v="20.380149545173118"/>
    <n v="537.5904522613065"/>
    <n v="3595.9831932773109"/>
    <x v="54"/>
    <n v="0.10122872860007198"/>
    <n v="471240"/>
  </r>
  <r>
    <n v="56"/>
    <x v="5"/>
    <x v="1"/>
    <x v="0"/>
    <x v="0"/>
    <x v="0"/>
    <n v="349043"/>
    <n v="310024"/>
    <x v="55"/>
    <x v="11"/>
    <x v="49"/>
    <x v="8"/>
    <n v="3.1785863655374322E-2"/>
    <n v="7.7123061440404614E-3"/>
    <n v="0.11842105263157894"/>
    <n v="5128"/>
    <n v="16.900000000000002"/>
    <n v="531.68289473684217"/>
    <n v="4489.7666666666664"/>
    <x v="55"/>
    <n v="0.1421528958446244"/>
    <n v="46152"/>
  </r>
  <r>
    <n v="57"/>
    <x v="5"/>
    <x v="1"/>
    <x v="1"/>
    <x v="1"/>
    <x v="0"/>
    <n v="348934"/>
    <n v="448321"/>
    <x v="56"/>
    <x v="53"/>
    <x v="50"/>
    <x v="8"/>
    <n v="3.2707450030284677E-2"/>
    <n v="7.3652583751374571E-3"/>
    <n v="8.3333333333333329E-2"/>
    <n v="4981"/>
    <n v="18.859055118110234"/>
    <n v="576.59814814814808"/>
    <n v="6919.1777777777779"/>
    <x v="56"/>
    <n v="-0.28011677688100384"/>
    <n v="44829"/>
  </r>
  <r>
    <n v="58"/>
    <x v="5"/>
    <x v="1"/>
    <x v="2"/>
    <x v="2"/>
    <x v="1"/>
    <n v="89459845"/>
    <n v="44950"/>
    <x v="57"/>
    <x v="54"/>
    <x v="0"/>
    <x v="0"/>
    <n v="1.4460511679644048E-2"/>
    <n v="0.02"/>
    <n v="7.6923076923076927E-2"/>
    <n v="8136"/>
    <n v="7.5293325917686316"/>
    <n v="520.68230769230763"/>
    <n v="6768.87"/>
    <x v="57"/>
    <n v="0.20197315061450435"/>
    <n v="8136"/>
  </r>
  <r>
    <n v="59"/>
    <x v="5"/>
    <x v="1"/>
    <x v="3"/>
    <x v="2"/>
    <x v="1"/>
    <n v="127823"/>
    <n v="478400"/>
    <x v="58"/>
    <x v="55"/>
    <x v="1"/>
    <x v="30"/>
    <n v="2.0066889632107024E-2"/>
    <n v="5.0000000000000001E-3"/>
    <n v="0.125"/>
    <n v="2192"/>
    <n v="9.4239130434782616"/>
    <n v="469.625"/>
    <n v="3757"/>
    <x v="58"/>
    <n v="-0.41655576257652382"/>
    <n v="13152"/>
  </r>
  <r>
    <n v="60"/>
    <x v="5"/>
    <x v="1"/>
    <x v="4"/>
    <x v="2"/>
    <x v="2"/>
    <n v="10934"/>
    <n v="472252"/>
    <x v="59"/>
    <x v="56"/>
    <x v="51"/>
    <x v="18"/>
    <n v="2.9503105590062112E-2"/>
    <n v="9.5457509973488723E-3"/>
    <n v="0.20300751879699247"/>
    <n v="7981"/>
    <n v="17.961712511091392"/>
    <n v="608.80751879699244"/>
    <n v="2998.9407407407407"/>
    <x v="59"/>
    <n v="1.6612729926863068"/>
    <n v="215487"/>
  </r>
  <r>
    <n v="61"/>
    <x v="5"/>
    <x v="1"/>
    <x v="5"/>
    <x v="0"/>
    <x v="0"/>
    <n v="9034945"/>
    <n v="425467"/>
    <x v="60"/>
    <x v="57"/>
    <x v="8"/>
    <x v="0"/>
    <n v="5.1948051948051948E-3"/>
    <n v="6.3342162846942301E-3"/>
    <n v="7.1428571428571425E-2"/>
    <n v="5958"/>
    <n v="1.3586382189239332"/>
    <n v="261.53785714285715"/>
    <n v="3661.53"/>
    <x v="60"/>
    <n v="0.62718863425944882"/>
    <n v="5958"/>
  </r>
  <r>
    <n v="62"/>
    <x v="5"/>
    <x v="1"/>
    <x v="6"/>
    <x v="1"/>
    <x v="0"/>
    <n v="983498"/>
    <n v="1589341"/>
    <x v="61"/>
    <x v="58"/>
    <x v="52"/>
    <x v="26"/>
    <n v="2.0031421838177535E-2"/>
    <n v="3.2038436056201912E-3"/>
    <n v="4.9019607843137254E-2"/>
    <n v="2459"/>
    <n v="2.3926551453260014"/>
    <n v="119.44509803921568"/>
    <n v="2436.6799999999998"/>
    <x v="61"/>
    <n v="9.160004596418107E-3"/>
    <n v="12295"/>
  </r>
  <r>
    <n v="63"/>
    <x v="5"/>
    <x v="1"/>
    <x v="7"/>
    <x v="2"/>
    <x v="0"/>
    <n v="4387490"/>
    <n v="10200"/>
    <x v="62"/>
    <x v="59"/>
    <x v="53"/>
    <x v="0"/>
    <n v="1.9607843137254902E-2"/>
    <n v="0.03"/>
    <n v="0.16666666666666666"/>
    <n v="5492"/>
    <n v="4.6410130718954248"/>
    <n v="236.69166666666669"/>
    <n v="1420.15"/>
    <x v="62"/>
    <n v="2.8671971270640424"/>
    <n v="5492"/>
  </r>
  <r>
    <n v="64"/>
    <x v="5"/>
    <x v="1"/>
    <x v="8"/>
    <x v="2"/>
    <x v="0"/>
    <n v="544756"/>
    <n v="119700"/>
    <x v="63"/>
    <x v="60"/>
    <x v="3"/>
    <x v="6"/>
    <n v="2.0050125313283207E-2"/>
    <n v="0.01"/>
    <n v="0.16666666666666666"/>
    <n v="1607"/>
    <n v="24.461988304093566"/>
    <n v="1220.0416666666667"/>
    <n v="7320.25"/>
    <x v="63"/>
    <n v="-0.78047197841603766"/>
    <n v="6428"/>
  </r>
  <r>
    <n v="65"/>
    <x v="5"/>
    <x v="1"/>
    <x v="9"/>
    <x v="2"/>
    <x v="2"/>
    <n v="374754"/>
    <n v="300700"/>
    <x v="64"/>
    <x v="61"/>
    <x v="54"/>
    <x v="3"/>
    <n v="6.6511473229132027E-3"/>
    <n v="0.01"/>
    <n v="0.1"/>
    <n v="4725"/>
    <n v="2.7566378450282669"/>
    <n v="414.46049999999997"/>
    <n v="4144.6049999999996"/>
    <x v="64"/>
    <n v="0.14003626401068389"/>
    <n v="9450"/>
  </r>
  <r>
    <n v="66"/>
    <x v="5"/>
    <x v="1"/>
    <x v="10"/>
    <x v="2"/>
    <x v="3"/>
    <n v="39889"/>
    <n v="42070000"/>
    <x v="65"/>
    <x v="62"/>
    <x v="20"/>
    <x v="2"/>
    <n v="1.9966722129783693E-2"/>
    <n v="1E-4"/>
    <n v="0.11904761904761904"/>
    <n v="4882"/>
    <n v="9.0765866413120975"/>
    <n v="454.58571428571423"/>
    <n v="3818.5199999999995"/>
    <x v="65"/>
    <n v="0.27850580853314905"/>
    <n v="48820"/>
  </r>
  <r>
    <n v="67"/>
    <x v="6"/>
    <x v="1"/>
    <x v="0"/>
    <x v="0"/>
    <x v="0"/>
    <n v="349043"/>
    <n v="478000"/>
    <x v="66"/>
    <x v="63"/>
    <x v="55"/>
    <x v="26"/>
    <n v="1.8828451882845189E-2"/>
    <n v="5.0000000000000001E-3"/>
    <n v="0.1111111111111111"/>
    <n v="4981"/>
    <n v="11.428619246861926"/>
    <n v="606.98666666666668"/>
    <n v="5462.88"/>
    <x v="66"/>
    <n v="-8.8209881967021106E-2"/>
    <n v="24905"/>
  </r>
  <r>
    <n v="68"/>
    <x v="6"/>
    <x v="1"/>
    <x v="1"/>
    <x v="1"/>
    <x v="0"/>
    <n v="348934"/>
    <n v="659000"/>
    <x v="67"/>
    <x v="64"/>
    <x v="56"/>
    <x v="26"/>
    <n v="2.0030349013657057E-2"/>
    <n v="5.0000000000000001E-3"/>
    <n v="7.575757575757576E-2"/>
    <n v="4747"/>
    <n v="11.68"/>
    <n v="583.11515151515152"/>
    <n v="7697.12"/>
    <x v="67"/>
    <n v="-0.38327582264535304"/>
    <n v="23735"/>
  </r>
  <r>
    <n v="69"/>
    <x v="6"/>
    <x v="1"/>
    <x v="2"/>
    <x v="2"/>
    <x v="1"/>
    <n v="89459845"/>
    <n v="44650"/>
    <x v="68"/>
    <x v="65"/>
    <x v="10"/>
    <x v="3"/>
    <n v="2.0156774916013438E-2"/>
    <n v="0.02"/>
    <n v="0.1111111111111111"/>
    <n v="7076"/>
    <n v="7.195968645016797"/>
    <n v="357"/>
    <n v="3213"/>
    <x v="68"/>
    <n v="1.2023031434796141"/>
    <n v="14152"/>
  </r>
  <r>
    <n v="70"/>
    <x v="6"/>
    <x v="1"/>
    <x v="3"/>
    <x v="2"/>
    <x v="1"/>
    <n v="127823"/>
    <n v="1137473"/>
    <x v="69"/>
    <x v="66"/>
    <x v="1"/>
    <x v="26"/>
    <n v="1.9966722129783693E-2"/>
    <n v="2.1134567589736197E-3"/>
    <n v="0.10416666666666667"/>
    <n v="3569"/>
    <n v="7.5299916805324454"/>
    <n v="377.1270833333333"/>
    <n v="3620.4199999999996"/>
    <x v="69"/>
    <n v="-1.4202772054070995E-2"/>
    <n v="17845"/>
  </r>
  <r>
    <n v="71"/>
    <x v="6"/>
    <x v="1"/>
    <x v="4"/>
    <x v="2"/>
    <x v="2"/>
    <n v="10934"/>
    <n v="694624"/>
    <x v="70"/>
    <x v="67"/>
    <x v="57"/>
    <x v="13"/>
    <n v="1.8201997780244172E-2"/>
    <n v="6.4855231031464506E-3"/>
    <n v="0.18292682926829268"/>
    <n v="7981"/>
    <n v="7.0322086570477245"/>
    <n v="386.34268292682924"/>
    <n v="2112.0066666666667"/>
    <x v="70"/>
    <n v="2.7788706475042693"/>
    <n v="119715"/>
  </r>
  <r>
    <n v="72"/>
    <x v="6"/>
    <x v="1"/>
    <x v="5"/>
    <x v="0"/>
    <x v="0"/>
    <n v="9034945"/>
    <n v="1246126"/>
    <x v="71"/>
    <x v="68"/>
    <x v="58"/>
    <x v="31"/>
    <n v="3.7091988130563795E-2"/>
    <n v="2.1635051351147475E-3"/>
    <n v="0.11"/>
    <n v="5981"/>
    <n v="14.082307121661721"/>
    <n v="379.65899999999999"/>
    <n v="3451.4454545454546"/>
    <x v="71"/>
    <n v="0.73289715244469378"/>
    <n v="65791"/>
  </r>
  <r>
    <n v="73"/>
    <x v="6"/>
    <x v="1"/>
    <x v="6"/>
    <x v="1"/>
    <x v="0"/>
    <n v="983498"/>
    <n v="567096"/>
    <x v="72"/>
    <x v="69"/>
    <x v="59"/>
    <x v="3"/>
    <n v="3.8996668626298255E-2"/>
    <n v="8.9984764484320121E-3"/>
    <n v="1.0050251256281407E-2"/>
    <n v="1981"/>
    <n v="1.3223476386439348"/>
    <n v="33.909246231155777"/>
    <n v="3373.97"/>
    <x v="72"/>
    <n v="-0.41285784995124436"/>
    <n v="3962"/>
  </r>
  <r>
    <n v="74"/>
    <x v="6"/>
    <x v="1"/>
    <x v="7"/>
    <x v="2"/>
    <x v="0"/>
    <n v="4387490"/>
    <n v="9938"/>
    <x v="73"/>
    <x v="70"/>
    <x v="53"/>
    <x v="0"/>
    <n v="2.0408163265306121E-2"/>
    <n v="2.9583417186556653E-2"/>
    <n v="0.16666666666666666"/>
    <n v="4981"/>
    <n v="11.685170068027212"/>
    <n v="572.57333333333338"/>
    <n v="3435.44"/>
    <x v="73"/>
    <n v="0.44988705959062009"/>
    <n v="4981"/>
  </r>
  <r>
    <n v="75"/>
    <x v="6"/>
    <x v="1"/>
    <x v="8"/>
    <x v="2"/>
    <x v="0"/>
    <n v="544756"/>
    <n v="174221"/>
    <x v="74"/>
    <x v="60"/>
    <x v="53"/>
    <x v="0"/>
    <n v="5.0125313283208017E-3"/>
    <n v="6.8705839135351074E-3"/>
    <n v="0.16666666666666666"/>
    <n v="981"/>
    <n v="8.4418546365914793"/>
    <n v="1684.1499999999999"/>
    <n v="10104.9"/>
    <x v="74"/>
    <n v="-0.90291838612950148"/>
    <n v="981"/>
  </r>
  <r>
    <n v="76"/>
    <x v="6"/>
    <x v="1"/>
    <x v="9"/>
    <x v="2"/>
    <x v="2"/>
    <n v="374754"/>
    <n v="300700"/>
    <x v="75"/>
    <x v="61"/>
    <x v="60"/>
    <x v="10"/>
    <n v="3.0927835051546393E-2"/>
    <n v="0.01"/>
    <n v="0.12903225806451613"/>
    <n v="5673"/>
    <n v="15.353375457266377"/>
    <n v="496.42580645161291"/>
    <n v="3847.2999999999997"/>
    <x v="75"/>
    <n v="0.47454058690510231"/>
    <n v="68076"/>
  </r>
  <r>
    <n v="77"/>
    <x v="6"/>
    <x v="1"/>
    <x v="10"/>
    <x v="2"/>
    <x v="3"/>
    <n v="39889"/>
    <n v="3957603"/>
    <x v="76"/>
    <x v="71"/>
    <x v="61"/>
    <x v="18"/>
    <n v="3.3785391387104451E-2"/>
    <n v="1.0620064720993996E-3"/>
    <n v="0.19014084507042253"/>
    <n v="3352"/>
    <n v="19.031096835593623"/>
    <n v="563.29366197183094"/>
    <n v="2962.5074074074073"/>
    <x v="76"/>
    <n v="0.13147396412198378"/>
    <n v="90504"/>
  </r>
  <r>
    <n v="78"/>
    <x v="7"/>
    <x v="0"/>
    <x v="0"/>
    <x v="0"/>
    <x v="0"/>
    <n v="349043"/>
    <n v="479000"/>
    <x v="77"/>
    <x v="14"/>
    <x v="62"/>
    <x v="26"/>
    <n v="1.5031315240083507E-2"/>
    <n v="5.0000000000000001E-3"/>
    <n v="0.1388888888888889"/>
    <n v="4469"/>
    <n v="11.36133611691023"/>
    <n v="755.84444444444443"/>
    <n v="5442.08"/>
    <x v="77"/>
    <n v="-0.17880663275806313"/>
    <n v="22345"/>
  </r>
  <r>
    <n v="79"/>
    <x v="7"/>
    <x v="0"/>
    <x v="1"/>
    <x v="1"/>
    <x v="0"/>
    <n v="348934"/>
    <n v="472656"/>
    <x v="78"/>
    <x v="72"/>
    <x v="56"/>
    <x v="26"/>
    <n v="2.0060790273556232E-2"/>
    <n v="6.9606648386987572E-3"/>
    <n v="7.575757575757576E-2"/>
    <n v="5734"/>
    <n v="10.259209726443769"/>
    <n v="511.40606060606063"/>
    <n v="6750.56"/>
    <x v="78"/>
    <n v="-0.15058898817283314"/>
    <n v="28670"/>
  </r>
  <r>
    <n v="80"/>
    <x v="7"/>
    <x v="0"/>
    <x v="2"/>
    <x v="2"/>
    <x v="1"/>
    <n v="89459845"/>
    <n v="51350"/>
    <x v="79"/>
    <x v="73"/>
    <x v="54"/>
    <x v="3"/>
    <n v="2.2123893805309734E-2"/>
    <n v="1.7604673807205453E-2"/>
    <n v="0.1"/>
    <n v="8120"/>
    <n v="7.6535951327433631"/>
    <n v="345.9425"/>
    <n v="3459.4250000000002"/>
    <x v="79"/>
    <n v="1.3472108804208791"/>
    <n v="16240"/>
  </r>
  <r>
    <n v="81"/>
    <x v="7"/>
    <x v="0"/>
    <x v="3"/>
    <x v="2"/>
    <x v="1"/>
    <n v="127823"/>
    <n v="478000"/>
    <x v="80"/>
    <x v="63"/>
    <x v="1"/>
    <x v="26"/>
    <n v="2.0083682008368201E-2"/>
    <n v="5.0000000000000001E-3"/>
    <n v="0.10416666666666667"/>
    <n v="3399"/>
    <n v="6.9320083682008367"/>
    <n v="345.15625"/>
    <n v="3313.5"/>
    <x v="80"/>
    <n v="2.5803531009506563E-2"/>
    <n v="16995"/>
  </r>
  <r>
    <n v="82"/>
    <x v="7"/>
    <x v="0"/>
    <x v="4"/>
    <x v="2"/>
    <x v="2"/>
    <n v="10934"/>
    <n v="685530"/>
    <x v="81"/>
    <x v="74"/>
    <x v="63"/>
    <x v="11"/>
    <n v="1.7590737029614785E-2"/>
    <n v="6.5511356176972558E-3"/>
    <n v="0.20253164556962025"/>
    <n v="7511"/>
    <n v="7.5467824537964816"/>
    <n v="429.02025316455695"/>
    <n v="2118.2874999999999"/>
    <x v="81"/>
    <n v="2.5457887562476764"/>
    <n v="120176"/>
  </r>
  <r>
    <n v="83"/>
    <x v="7"/>
    <x v="0"/>
    <x v="5"/>
    <x v="0"/>
    <x v="0"/>
    <n v="9034945"/>
    <n v="472836"/>
    <x v="82"/>
    <x v="75"/>
    <x v="64"/>
    <x v="5"/>
    <n v="3.7174721189591077E-4"/>
    <n v="5.6890761278752039E-3"/>
    <n v="0"/>
    <n v="0"/>
    <n v="0.12295910780669145"/>
    <n v="330.76"/>
    <n v="0"/>
    <x v="82"/>
    <n v="-1"/>
    <n v="0"/>
  </r>
  <r>
    <n v="84"/>
    <x v="7"/>
    <x v="0"/>
    <x v="6"/>
    <x v="1"/>
    <x v="0"/>
    <n v="983498"/>
    <n v="1020000"/>
    <x v="83"/>
    <x v="76"/>
    <x v="52"/>
    <x v="0"/>
    <n v="0.02"/>
    <n v="5.0000000000000001E-3"/>
    <n v="9.8039215686274508E-3"/>
    <n v="1981"/>
    <n v="0.40339215686274515"/>
    <n v="20.169607843137257"/>
    <n v="2057.3000000000002"/>
    <x v="83"/>
    <n v="-3.7087444709084809E-2"/>
    <n v="1981"/>
  </r>
  <r>
    <n v="85"/>
    <x v="7"/>
    <x v="0"/>
    <x v="7"/>
    <x v="2"/>
    <x v="0"/>
    <n v="4387490"/>
    <n v="10067"/>
    <x v="84"/>
    <x v="77"/>
    <x v="9"/>
    <x v="3"/>
    <n v="3.3112582781456956E-2"/>
    <n v="2.999900665540876E-2"/>
    <n v="0.2"/>
    <n v="5018"/>
    <n v="14.357748344370862"/>
    <n v="433.60399999999998"/>
    <n v="2168.02"/>
    <x v="84"/>
    <n v="1.3145542937795778"/>
    <n v="10036"/>
  </r>
  <r>
    <n v="86"/>
    <x v="7"/>
    <x v="0"/>
    <x v="8"/>
    <x v="2"/>
    <x v="0"/>
    <n v="544756"/>
    <n v="120200"/>
    <x v="85"/>
    <x v="78"/>
    <x v="3"/>
    <x v="26"/>
    <n v="1.9966722129783693E-2"/>
    <n v="0.01"/>
    <n v="0.20833333333333334"/>
    <n v="981"/>
    <n v="33.360232945091511"/>
    <n v="1670.7916666666667"/>
    <n v="8019.8"/>
    <x v="85"/>
    <n v="-0.87767774757475248"/>
    <n v="4905"/>
  </r>
  <r>
    <n v="87"/>
    <x v="7"/>
    <x v="0"/>
    <x v="9"/>
    <x v="2"/>
    <x v="2"/>
    <n v="374754"/>
    <n v="361650"/>
    <x v="86"/>
    <x v="79"/>
    <x v="65"/>
    <x v="8"/>
    <n v="2.0060180541624874E-2"/>
    <n v="8.2704272086271263E-3"/>
    <n v="0.15"/>
    <n v="5003"/>
    <n v="10.416014710799063"/>
    <n v="519.23833333333334"/>
    <n v="3461.588888888889"/>
    <x v="86"/>
    <n v="0.44529005626831614"/>
    <n v="45027"/>
  </r>
  <r>
    <n v="88"/>
    <x v="7"/>
    <x v="0"/>
    <x v="10"/>
    <x v="2"/>
    <x v="3"/>
    <n v="39889"/>
    <n v="2233790"/>
    <x v="87"/>
    <x v="80"/>
    <x v="20"/>
    <x v="2"/>
    <n v="2.0014295925661188E-2"/>
    <n v="1.8788695445856594E-3"/>
    <n v="0.11904761904761904"/>
    <n v="4228"/>
    <n v="7.5968310698117705"/>
    <n v="379.5702380952381"/>
    <n v="3188.3900000000003"/>
    <x v="87"/>
    <n v="0.32606111548461758"/>
    <n v="42280"/>
  </r>
  <r>
    <n v="89"/>
    <x v="8"/>
    <x v="0"/>
    <x v="0"/>
    <x v="0"/>
    <x v="0"/>
    <n v="349043"/>
    <n v="478600"/>
    <x v="88"/>
    <x v="81"/>
    <x v="27"/>
    <x v="8"/>
    <n v="2.8416213957375678E-2"/>
    <n v="5.0000000000000001E-3"/>
    <n v="0.13235294117647059"/>
    <n v="4757"/>
    <n v="20.491642290012535"/>
    <n v="721.125"/>
    <n v="5448.5"/>
    <x v="88"/>
    <n v="-0.1269156648618886"/>
    <n v="42813"/>
  </r>
  <r>
    <n v="90"/>
    <x v="8"/>
    <x v="0"/>
    <x v="1"/>
    <x v="1"/>
    <x v="0"/>
    <n v="348934"/>
    <n v="555116"/>
    <x v="89"/>
    <x v="82"/>
    <x v="66"/>
    <x v="31"/>
    <n v="2.9064486830154404E-2"/>
    <n v="5.9501077252322038E-3"/>
    <n v="0.11458333333333333"/>
    <n v="4981"/>
    <n v="18.806963366636392"/>
    <n v="647.07708333333335"/>
    <n v="5647.2181818181816"/>
    <x v="89"/>
    <n v="-0.11797280720676634"/>
    <n v="54791"/>
  </r>
  <r>
    <n v="91"/>
    <x v="8"/>
    <x v="0"/>
    <x v="2"/>
    <x v="2"/>
    <x v="1"/>
    <n v="89459845"/>
    <n v="44900"/>
    <x v="90"/>
    <x v="83"/>
    <x v="67"/>
    <x v="0"/>
    <n v="5.5679287305122494E-3"/>
    <n v="0.02"/>
    <n v="0.2"/>
    <n v="7998"/>
    <n v="3.4467817371937639"/>
    <n v="619.04200000000003"/>
    <n v="3095.21"/>
    <x v="90"/>
    <n v="1.5839926854720681"/>
    <n v="7998"/>
  </r>
  <r>
    <n v="92"/>
    <x v="8"/>
    <x v="0"/>
    <x v="3"/>
    <x v="2"/>
    <x v="1"/>
    <n v="127823"/>
    <n v="478600"/>
    <x v="91"/>
    <x v="81"/>
    <x v="1"/>
    <x v="26"/>
    <n v="2.0058503969912243E-2"/>
    <n v="5.0000000000000001E-3"/>
    <n v="0.10416666666666667"/>
    <n v="2981"/>
    <n v="8.482783117425825"/>
    <n v="422.90208333333334"/>
    <n v="4059.8599999999997"/>
    <x v="91"/>
    <n v="-0.2657382274265615"/>
    <n v="14905"/>
  </r>
  <r>
    <n v="93"/>
    <x v="8"/>
    <x v="0"/>
    <x v="4"/>
    <x v="2"/>
    <x v="2"/>
    <n v="10934"/>
    <n v="491821"/>
    <x v="92"/>
    <x v="84"/>
    <x v="68"/>
    <x v="32"/>
    <n v="2.0022246941045607E-2"/>
    <n v="9.1395040065389652E-3"/>
    <n v="0.2"/>
    <n v="7981"/>
    <n v="6.1919911012235813"/>
    <n v="309.25555555555553"/>
    <n v="1546.2777777777778"/>
    <x v="92"/>
    <n v="4.1614270829590776"/>
    <n v="143658"/>
  </r>
  <r>
    <n v="94"/>
    <x v="8"/>
    <x v="0"/>
    <x v="5"/>
    <x v="0"/>
    <x v="0"/>
    <n v="9034945"/>
    <n v="759532"/>
    <x v="93"/>
    <x v="16"/>
    <x v="16"/>
    <x v="1"/>
    <n v="7.0344316919659384E-3"/>
    <n v="3.5561372002759595E-3"/>
    <n v="0.15789473684210525"/>
    <n v="6600"/>
    <n v="3.8196964087375047"/>
    <n v="543"/>
    <n v="3439"/>
    <x v="93"/>
    <n v="0.91916254725210822"/>
    <n v="19800"/>
  </r>
  <r>
    <n v="95"/>
    <x v="8"/>
    <x v="0"/>
    <x v="6"/>
    <x v="1"/>
    <x v="0"/>
    <n v="983498"/>
    <n v="1022000"/>
    <x v="94"/>
    <x v="85"/>
    <x v="52"/>
    <x v="1"/>
    <n v="1.9960861056751468E-2"/>
    <n v="5.0000000000000001E-3"/>
    <n v="2.9411764705882353E-2"/>
    <n v="1981"/>
    <n v="1.4478003913894326"/>
    <n v="72.531960784313725"/>
    <n v="2466.0866666666666"/>
    <x v="94"/>
    <n v="-0.19670300854525255"/>
    <n v="5943"/>
  </r>
  <r>
    <n v="96"/>
    <x v="8"/>
    <x v="0"/>
    <x v="7"/>
    <x v="2"/>
    <x v="0"/>
    <n v="4387490"/>
    <n v="9721"/>
    <x v="95"/>
    <x v="86"/>
    <x v="53"/>
    <x v="0"/>
    <n v="2.0689655172413793E-2"/>
    <n v="2.9832321777594897E-2"/>
    <n v="0.16666666666666666"/>
    <n v="4353"/>
    <n v="7.4219655172413788"/>
    <n v="358.7283333333333"/>
    <n v="2152.37"/>
    <x v="95"/>
    <n v="1.0224217955091366"/>
    <n v="4353"/>
  </r>
  <r>
    <n v="97"/>
    <x v="8"/>
    <x v="0"/>
    <x v="8"/>
    <x v="2"/>
    <x v="0"/>
    <n v="544756"/>
    <n v="189854"/>
    <x v="96"/>
    <x v="87"/>
    <x v="3"/>
    <x v="1"/>
    <n v="2.003338898163606E-2"/>
    <n v="6.3101119807852353E-3"/>
    <n v="0.125"/>
    <n v="981"/>
    <n v="24.283305509181972"/>
    <n v="1212.1416666666667"/>
    <n v="9697.1333333333332"/>
    <x v="96"/>
    <n v="-0.89883608214111388"/>
    <n v="2943"/>
  </r>
  <r>
    <n v="98"/>
    <x v="8"/>
    <x v="0"/>
    <x v="9"/>
    <x v="2"/>
    <x v="2"/>
    <n v="374754"/>
    <n v="346068"/>
    <x v="97"/>
    <x v="88"/>
    <x v="69"/>
    <x v="13"/>
    <n v="3.2934131736526949E-2"/>
    <n v="8.6861541662332266E-3"/>
    <n v="0.15151515151515152"/>
    <n v="5964"/>
    <n v="19.175781769793748"/>
    <n v="582.24646464646469"/>
    <n v="3842.8266666666668"/>
    <x v="97"/>
    <n v="0.55198256838715942"/>
    <n v="89460"/>
  </r>
  <r>
    <n v="99"/>
    <x v="8"/>
    <x v="0"/>
    <x v="10"/>
    <x v="2"/>
    <x v="3"/>
    <n v="39889"/>
    <n v="3736884"/>
    <x v="98"/>
    <x v="89"/>
    <x v="20"/>
    <x v="9"/>
    <n v="2.0047732696897375E-2"/>
    <n v="1.121255034943552E-3"/>
    <n v="0.15476190476190477"/>
    <n v="3943"/>
    <n v="10.675823389021479"/>
    <n v="532.52023809523803"/>
    <n v="3440.8999999999996"/>
    <x v="98"/>
    <n v="0.14592112528698895"/>
    <n v="51259"/>
  </r>
  <r>
    <n v="100"/>
    <x v="9"/>
    <x v="0"/>
    <x v="0"/>
    <x v="0"/>
    <x v="0"/>
    <n v="349043"/>
    <n v="961800"/>
    <x v="99"/>
    <x v="90"/>
    <x v="66"/>
    <x v="28"/>
    <n v="1.9962570180910792E-2"/>
    <n v="5.0000000000000001E-3"/>
    <n v="8.3333333333333329E-2"/>
    <n v="5300"/>
    <n v="9.0219172385111257"/>
    <n v="451.94166666666666"/>
    <n v="5423.3"/>
    <x v="99"/>
    <n v="-2.2735235004517577E-2"/>
    <n v="42400"/>
  </r>
  <r>
    <n v="101"/>
    <x v="9"/>
    <x v="0"/>
    <x v="1"/>
    <x v="1"/>
    <x v="0"/>
    <n v="348934"/>
    <n v="852250"/>
    <x v="100"/>
    <x v="91"/>
    <x v="70"/>
    <x v="4"/>
    <n v="2.0012128562765311E-2"/>
    <n v="7.7395130536814316E-3"/>
    <n v="5.3030303030303032E-2"/>
    <n v="4981"/>
    <n v="6.6503790175864159"/>
    <n v="332.31742424242424"/>
    <n v="6266.5571428571429"/>
    <x v="100"/>
    <n v="-0.20514568263731056"/>
    <n v="34867"/>
  </r>
  <r>
    <n v="102"/>
    <x v="9"/>
    <x v="0"/>
    <x v="2"/>
    <x v="2"/>
    <x v="1"/>
    <n v="89459845"/>
    <n v="108748"/>
    <x v="101"/>
    <x v="92"/>
    <x v="71"/>
    <x v="31"/>
    <n v="3.1719532554257093E-2"/>
    <n v="1.6524441828815243E-2"/>
    <n v="0.19298245614035087"/>
    <n v="7884"/>
    <n v="28.872064552031162"/>
    <n v="910.22982456140346"/>
    <n v="4716.6454545454544"/>
    <x v="101"/>
    <n v="0.67152695193617962"/>
    <n v="86724"/>
  </r>
  <r>
    <n v="103"/>
    <x v="9"/>
    <x v="0"/>
    <x v="3"/>
    <x v="2"/>
    <x v="1"/>
    <n v="127823"/>
    <n v="797238"/>
    <x v="102"/>
    <x v="93"/>
    <x v="72"/>
    <x v="33"/>
    <n v="3.2103397957056495E-2"/>
    <n v="6.0170237745817432E-3"/>
    <n v="0.12337662337662338"/>
    <n v="2242"/>
    <n v="14.087513028976444"/>
    <n v="438.81688311688316"/>
    <n v="3556.726315789474"/>
    <x v="102"/>
    <n v="-0.36964506095196947"/>
    <n v="42598"/>
  </r>
  <r>
    <n v="104"/>
    <x v="9"/>
    <x v="0"/>
    <x v="4"/>
    <x v="2"/>
    <x v="2"/>
    <n v="10934"/>
    <n v="1469962"/>
    <x v="103"/>
    <x v="94"/>
    <x v="73"/>
    <x v="11"/>
    <n v="8.8908646365859073E-3"/>
    <n v="6.121246671682669E-3"/>
    <n v="0.2"/>
    <n v="8173"/>
    <n v="2.2039786619248725"/>
    <n v="247.89250000000001"/>
    <n v="1239.4625000000001"/>
    <x v="103"/>
    <n v="5.593987313049003"/>
    <n v="130768"/>
  </r>
  <r>
    <n v="105"/>
    <x v="9"/>
    <x v="0"/>
    <x v="5"/>
    <x v="0"/>
    <x v="0"/>
    <n v="9034945"/>
    <n v="3858193"/>
    <x v="104"/>
    <x v="95"/>
    <x v="74"/>
    <x v="23"/>
    <n v="3.4406215316315207E-2"/>
    <n v="1.4011740729403636E-3"/>
    <n v="7.5268817204301078E-2"/>
    <n v="5981"/>
    <n v="7.1939141694413618"/>
    <n v="209.08763440860216"/>
    <n v="2777.8785714285718"/>
    <x v="104"/>
    <n v="1.1530818738862902"/>
    <n v="83734"/>
  </r>
  <r>
    <n v="106"/>
    <x v="9"/>
    <x v="0"/>
    <x v="6"/>
    <x v="1"/>
    <x v="0"/>
    <n v="983498"/>
    <n v="2040000"/>
    <x v="105"/>
    <x v="96"/>
    <x v="75"/>
    <x v="6"/>
    <n v="3.8725490196078433E-2"/>
    <n v="5.0000000000000001E-3"/>
    <n v="1.0126582278481013E-2"/>
    <n v="1981"/>
    <n v="1.3870490196078431"/>
    <n v="35.817468354430382"/>
    <n v="3536.9749999999999"/>
    <x v="105"/>
    <n v="-0.43991687812325503"/>
    <n v="7924"/>
  </r>
  <r>
    <n v="107"/>
    <x v="9"/>
    <x v="0"/>
    <x v="7"/>
    <x v="2"/>
    <x v="0"/>
    <n v="4387490"/>
    <n v="18399"/>
    <x v="106"/>
    <x v="97"/>
    <x v="76"/>
    <x v="26"/>
    <n v="3.6727879799666109E-2"/>
    <n v="3.2556117180281535E-2"/>
    <n v="0.22727272727272727"/>
    <n v="5413"/>
    <n v="21.223706176961603"/>
    <n v="577.86363636363637"/>
    <n v="2542.6"/>
    <x v="106"/>
    <n v="1.1289231495319751"/>
    <n v="27065"/>
  </r>
  <r>
    <n v="108"/>
    <x v="9"/>
    <x v="0"/>
    <x v="8"/>
    <x v="2"/>
    <x v="0"/>
    <n v="544756"/>
    <n v="321713"/>
    <x v="107"/>
    <x v="98"/>
    <x v="77"/>
    <x v="13"/>
    <n v="3.6727879799666109E-2"/>
    <n v="7.4476318955093513E-3"/>
    <n v="0.17045454545454544"/>
    <n v="981"/>
    <n v="54.772954924874789"/>
    <n v="1491.3181818181818"/>
    <n v="8749.0666666666675"/>
    <x v="107"/>
    <n v="-0.88787375415282388"/>
    <n v="14715"/>
  </r>
  <r>
    <n v="109"/>
    <x v="9"/>
    <x v="0"/>
    <x v="9"/>
    <x v="2"/>
    <x v="2"/>
    <n v="374754"/>
    <n v="489728"/>
    <x v="108"/>
    <x v="99"/>
    <x v="78"/>
    <x v="34"/>
    <n v="3.1140716069941714E-2"/>
    <n v="1.2261908651332984E-2"/>
    <n v="0.18181818181818182"/>
    <n v="4232"/>
    <n v="21.132556203164029"/>
    <n v="678.61497326203209"/>
    <n v="3732.3823529411766"/>
    <x v="108"/>
    <n v="0.13386025326829576"/>
    <n v="143888"/>
  </r>
  <r>
    <n v="110"/>
    <x v="9"/>
    <x v="0"/>
    <x v="10"/>
    <x v="2"/>
    <x v="3"/>
    <n v="39889"/>
    <n v="5219501"/>
    <x v="109"/>
    <x v="100"/>
    <x v="79"/>
    <x v="20"/>
    <n v="3.5990942676677393E-2"/>
    <n v="1.6076249434572385E-3"/>
    <n v="0.19867549668874171"/>
    <n v="3278"/>
    <n v="21.394231915147181"/>
    <n v="594.43377483443703"/>
    <n v="2991.9833333333331"/>
    <x v="109"/>
    <n v="9.5594338203755597E-2"/>
    <n v="196680"/>
  </r>
  <r>
    <n v="111"/>
    <x v="10"/>
    <x v="0"/>
    <x v="0"/>
    <x v="0"/>
    <x v="0"/>
    <n v="349043"/>
    <n v="1061233"/>
    <x v="110"/>
    <x v="101"/>
    <x v="21"/>
    <x v="22"/>
    <n v="1.9983347210657785E-2"/>
    <n v="6.7902147784699492E-3"/>
    <n v="0.15972222222222221"/>
    <n v="4575"/>
    <n v="14.665695253955038"/>
    <n v="733.89583333333337"/>
    <n v="4594.826086956522"/>
    <x v="110"/>
    <n v="-4.3148721151389556E-3"/>
    <n v="105225"/>
  </r>
  <r>
    <n v="112"/>
    <x v="10"/>
    <x v="0"/>
    <x v="1"/>
    <x v="1"/>
    <x v="0"/>
    <n v="348934"/>
    <n v="4564542"/>
    <x v="111"/>
    <x v="102"/>
    <x v="80"/>
    <x v="35"/>
    <n v="3.0722587165234967E-2"/>
    <n v="2.1677969005433621E-3"/>
    <n v="9.2105263157894732E-2"/>
    <n v="4681"/>
    <n v="19.051642243557353"/>
    <n v="620.11842105263156"/>
    <n v="6732.7142857142853"/>
    <x v="111"/>
    <n v="-0.30473805936896603"/>
    <n v="131068"/>
  </r>
  <r>
    <n v="113"/>
    <x v="10"/>
    <x v="0"/>
    <x v="2"/>
    <x v="2"/>
    <x v="1"/>
    <n v="89459845"/>
    <n v="134600"/>
    <x v="112"/>
    <x v="103"/>
    <x v="13"/>
    <x v="30"/>
    <n v="2.0059435364041606E-2"/>
    <n v="0.02"/>
    <n v="0.1111111111111111"/>
    <n v="8165"/>
    <n v="9.7401188707280841"/>
    <n v="485.56296296296301"/>
    <n v="4370.0666666666666"/>
    <x v="112"/>
    <n v="0.86839254931274878"/>
    <n v="48990"/>
  </r>
  <r>
    <n v="114"/>
    <x v="10"/>
    <x v="0"/>
    <x v="3"/>
    <x v="2"/>
    <x v="1"/>
    <n v="127823"/>
    <n v="1254537"/>
    <x v="113"/>
    <x v="104"/>
    <x v="21"/>
    <x v="23"/>
    <n v="2.0005557099194219E-2"/>
    <n v="5.7375748981496758E-3"/>
    <n v="9.7222222222222224E-2"/>
    <n v="2999"/>
    <n v="7.1439983328702414"/>
    <n v="357.10069444444446"/>
    <n v="3673.0357142857142"/>
    <x v="113"/>
    <n v="-0.18350916427633818"/>
    <n v="41986"/>
  </r>
  <r>
    <n v="115"/>
    <x v="10"/>
    <x v="0"/>
    <x v="4"/>
    <x v="2"/>
    <x v="2"/>
    <n v="10934"/>
    <n v="1210466"/>
    <x v="114"/>
    <x v="105"/>
    <x v="81"/>
    <x v="36"/>
    <n v="3.5095513105286538E-2"/>
    <n v="1.1157686378634344E-2"/>
    <n v="0.20042194092827004"/>
    <n v="8756"/>
    <n v="14.598030504960759"/>
    <n v="415.95147679324896"/>
    <n v="2075.378947368421"/>
    <x v="114"/>
    <n v="3.2189885423587827"/>
    <n v="831820"/>
  </r>
  <r>
    <n v="116"/>
    <x v="10"/>
    <x v="0"/>
    <x v="5"/>
    <x v="0"/>
    <x v="0"/>
    <n v="9034945"/>
    <n v="2224531"/>
    <x v="115"/>
    <x v="106"/>
    <x v="64"/>
    <x v="5"/>
    <n v="1.233654083395016E-4"/>
    <n v="3.6439141553882594E-3"/>
    <n v="0"/>
    <n v="0"/>
    <n v="4.3053293856402663E-2"/>
    <n v="348.99"/>
    <n v="0"/>
    <x v="115"/>
    <n v="-1"/>
    <n v="0"/>
  </r>
  <r>
    <n v="117"/>
    <x v="10"/>
    <x v="0"/>
    <x v="6"/>
    <x v="1"/>
    <x v="0"/>
    <n v="983498"/>
    <n v="3058200"/>
    <x v="116"/>
    <x v="107"/>
    <x v="82"/>
    <x v="0"/>
    <n v="7.4553659015106927E-3"/>
    <n v="5.0000000000000001E-3"/>
    <n v="8.771929824561403E-3"/>
    <n v="2771"/>
    <n v="0.27066444313648547"/>
    <n v="36.304649122807014"/>
    <n v="4138.7299999999996"/>
    <x v="116"/>
    <n v="-0.33047094156903195"/>
    <n v="2771"/>
  </r>
  <r>
    <n v="118"/>
    <x v="10"/>
    <x v="0"/>
    <x v="7"/>
    <x v="2"/>
    <x v="0"/>
    <n v="4387490"/>
    <n v="26774"/>
    <x v="117"/>
    <x v="65"/>
    <x v="5"/>
    <x v="30"/>
    <n v="3.0235162374020158E-2"/>
    <n v="3.3353253156046911E-2"/>
    <n v="0.22222222222222221"/>
    <n v="4981"/>
    <n v="19.833258678611422"/>
    <n v="655.96666666666658"/>
    <n v="2951.85"/>
    <x v="117"/>
    <n v="0.68741636600775802"/>
    <n v="29886"/>
  </r>
  <r>
    <n v="119"/>
    <x v="10"/>
    <x v="0"/>
    <x v="8"/>
    <x v="2"/>
    <x v="0"/>
    <n v="544756"/>
    <n v="359500"/>
    <x v="118"/>
    <x v="29"/>
    <x v="67"/>
    <x v="0"/>
    <n v="1.3908205841446453E-3"/>
    <n v="0.01"/>
    <n v="0.2"/>
    <n v="677"/>
    <n v="1.7165924895688456"/>
    <n v="1234.23"/>
    <n v="6171.15"/>
    <x v="118"/>
    <n v="-0.89029597400808602"/>
    <n v="677"/>
  </r>
  <r>
    <n v="120"/>
    <x v="10"/>
    <x v="0"/>
    <x v="9"/>
    <x v="2"/>
    <x v="2"/>
    <n v="374754"/>
    <n v="900400"/>
    <x v="119"/>
    <x v="108"/>
    <x v="83"/>
    <x v="37"/>
    <n v="2.5211017325633051E-2"/>
    <n v="0.01"/>
    <n v="0.1277533039647577"/>
    <n v="4961"/>
    <n v="14.299311417147933"/>
    <n v="567.18502202643174"/>
    <n v="4439.6896551724139"/>
    <x v="119"/>
    <n v="0.11742044721982742"/>
    <n v="143869"/>
  </r>
  <r>
    <n v="121"/>
    <x v="10"/>
    <x v="0"/>
    <x v="10"/>
    <x v="2"/>
    <x v="3"/>
    <n v="39889"/>
    <n v="5125187"/>
    <x v="120"/>
    <x v="109"/>
    <x v="84"/>
    <x v="38"/>
    <n v="3.8247897159181081E-2"/>
    <n v="2.4588371116995339E-3"/>
    <n v="0.11825726141078838"/>
    <n v="3981"/>
    <n v="15.32486906840184"/>
    <n v="400.67219917012449"/>
    <n v="3388.1403508771928"/>
    <x v="120"/>
    <n v="0.17498084132474473"/>
    <n v="226917"/>
  </r>
  <r>
    <n v="122"/>
    <x v="11"/>
    <x v="0"/>
    <x v="0"/>
    <x v="0"/>
    <x v="0"/>
    <n v="349043"/>
    <n v="1804868"/>
    <x v="121"/>
    <x v="110"/>
    <x v="28"/>
    <x v="22"/>
    <n v="1.9985427292599146E-2"/>
    <n v="5.3228269324958949E-3"/>
    <n v="0.11979166666666667"/>
    <n v="4181"/>
    <n v="11.450400749453523"/>
    <n v="572.9375"/>
    <n v="4782.782608695652"/>
    <x v="121"/>
    <n v="-0.12582269735645976"/>
    <n v="96163"/>
  </r>
  <r>
    <n v="123"/>
    <x v="11"/>
    <x v="0"/>
    <x v="1"/>
    <x v="1"/>
    <x v="0"/>
    <n v="348934"/>
    <n v="2639200"/>
    <x v="122"/>
    <x v="111"/>
    <x v="85"/>
    <x v="39"/>
    <n v="2.4628675356168535E-2"/>
    <n v="5.0000000000000001E-3"/>
    <n v="9.8461538461538461E-2"/>
    <n v="5516"/>
    <n v="14.528796605031827"/>
    <n v="589.91384615384618"/>
    <n v="5991.3125"/>
    <x v="122"/>
    <n v="-7.9333618468407377E-2"/>
    <n v="176512"/>
  </r>
  <r>
    <n v="124"/>
    <x v="11"/>
    <x v="0"/>
    <x v="2"/>
    <x v="2"/>
    <x v="1"/>
    <n v="89459845"/>
    <n v="161493"/>
    <x v="123"/>
    <x v="112"/>
    <x v="25"/>
    <x v="23"/>
    <n v="1.9988895058300944E-2"/>
    <n v="2.230437232573548E-2"/>
    <n v="0.19444444444444445"/>
    <n v="8765"/>
    <n v="16.586701832315381"/>
    <n v="829.79583333333335"/>
    <n v="4267.5214285714292"/>
    <x v="123"/>
    <n v="1.0538854102331061"/>
    <n v="122710"/>
  </r>
  <r>
    <n v="125"/>
    <x v="11"/>
    <x v="0"/>
    <x v="3"/>
    <x v="2"/>
    <x v="1"/>
    <n v="127823"/>
    <n v="1502383"/>
    <x v="124"/>
    <x v="113"/>
    <x v="28"/>
    <x v="33"/>
    <n v="1.9989588755856325E-2"/>
    <n v="6.3931767066054395E-3"/>
    <n v="9.8958333333333329E-2"/>
    <n v="2981"/>
    <n v="9.0299947943779291"/>
    <n v="451.73489583333338"/>
    <n v="4564.9000000000005"/>
    <x v="124"/>
    <n v="-0.34697364673924952"/>
    <n v="56639"/>
  </r>
  <r>
    <n v="126"/>
    <x v="11"/>
    <x v="0"/>
    <x v="4"/>
    <x v="2"/>
    <x v="2"/>
    <n v="10934"/>
    <n v="1299708"/>
    <x v="125"/>
    <x v="114"/>
    <x v="86"/>
    <x v="40"/>
    <n v="2.1007002334111371E-2"/>
    <n v="1.3844648182514841E-2"/>
    <n v="0.16137566137566137"/>
    <n v="7981"/>
    <n v="6.7606980104479275"/>
    <n v="321.83068783068785"/>
    <n v="1994.295081967213"/>
    <x v="125"/>
    <n v="3.0019152993785552"/>
    <n v="486841"/>
  </r>
  <r>
    <n v="127"/>
    <x v="11"/>
    <x v="0"/>
    <x v="5"/>
    <x v="0"/>
    <x v="0"/>
    <n v="9034945"/>
    <n v="3735390"/>
    <x v="126"/>
    <x v="115"/>
    <x v="18"/>
    <x v="8"/>
    <n v="1.0642235794928743E-2"/>
    <n v="2.8928706239509127E-3"/>
    <n v="7.8260869565217397E-2"/>
    <n v="5947"/>
    <n v="2.4671386266888766"/>
    <n v="231.82521739130436"/>
    <n v="2962.2111111111112"/>
    <x v="126"/>
    <n v="1.0076219340657691"/>
    <n v="53523"/>
  </r>
  <r>
    <n v="128"/>
    <x v="11"/>
    <x v="0"/>
    <x v="6"/>
    <x v="1"/>
    <x v="0"/>
    <n v="983498"/>
    <n v="7156880"/>
    <x v="127"/>
    <x v="116"/>
    <x v="34"/>
    <x v="13"/>
    <n v="2.0008827423863468E-2"/>
    <n v="2.8491465554822772E-3"/>
    <n v="3.6764705882352942E-2"/>
    <n v="1981"/>
    <n v="2.4059781276053163"/>
    <n v="120.24583333333334"/>
    <n v="3270.686666666667"/>
    <x v="127"/>
    <n v="-0.3943167897464957"/>
    <n v="29715"/>
  </r>
  <r>
    <n v="129"/>
    <x v="11"/>
    <x v="0"/>
    <x v="7"/>
    <x v="2"/>
    <x v="0"/>
    <n v="4387490"/>
    <n v="42587"/>
    <x v="128"/>
    <x v="117"/>
    <x v="87"/>
    <x v="28"/>
    <n v="2.8169014084507043E-2"/>
    <n v="2.834198229506657E-2"/>
    <n v="0.23529411764705882"/>
    <n v="4981"/>
    <n v="9.3440762220381099"/>
    <n v="331.71470588235292"/>
    <n v="1409.7874999999999"/>
    <x v="128"/>
    <n v="2.5331565927489073"/>
    <n v="39848"/>
  </r>
  <r>
    <n v="130"/>
    <x v="11"/>
    <x v="0"/>
    <x v="8"/>
    <x v="2"/>
    <x v="0"/>
    <n v="544756"/>
    <n v="480000"/>
    <x v="129"/>
    <x v="118"/>
    <x v="88"/>
    <x v="26"/>
    <n v="6.875E-3"/>
    <n v="0.01"/>
    <n v="0.15151515151515152"/>
    <n v="1389"/>
    <n v="9.2876875000000005"/>
    <n v="1350.9363636363637"/>
    <n v="8916.18"/>
    <x v="129"/>
    <n v="-0.84421579645094647"/>
    <n v="6945"/>
  </r>
  <r>
    <n v="131"/>
    <x v="11"/>
    <x v="0"/>
    <x v="9"/>
    <x v="2"/>
    <x v="2"/>
    <n v="374754"/>
    <n v="1200300"/>
    <x v="130"/>
    <x v="119"/>
    <x v="89"/>
    <x v="41"/>
    <n v="3.4324752145297011E-2"/>
    <n v="0.01"/>
    <n v="0.19174757281553398"/>
    <n v="4981"/>
    <n v="25.707906356744147"/>
    <n v="748.96116504854365"/>
    <n v="3905.9746835443038"/>
    <x v="130"/>
    <n v="0.27522587921133479"/>
    <n v="393499"/>
  </r>
  <r>
    <n v="132"/>
    <x v="11"/>
    <x v="0"/>
    <x v="10"/>
    <x v="2"/>
    <x v="3"/>
    <n v="39889"/>
    <n v="10819771"/>
    <x v="131"/>
    <x v="120"/>
    <x v="38"/>
    <x v="42"/>
    <n v="1.9990480723465015E-2"/>
    <n v="1.5534524714062802E-3"/>
    <n v="0.14583333333333334"/>
    <n v="3981"/>
    <n v="8.6388029509757267"/>
    <n v="432.14583333333331"/>
    <n v="2963.2857142857142"/>
    <x v="131"/>
    <n v="0.3434411608735477"/>
    <n v="195069"/>
  </r>
  <r>
    <n v="133"/>
    <x v="12"/>
    <x v="1"/>
    <x v="0"/>
    <x v="0"/>
    <x v="0"/>
    <n v="349043"/>
    <n v="1496322"/>
    <x v="132"/>
    <x v="121"/>
    <x v="90"/>
    <x v="20"/>
    <n v="3.311092577147623E-2"/>
    <n v="8.0129811631453659E-3"/>
    <n v="0.15113350125944586"/>
    <n v="5698"/>
    <n v="25.745788156797332"/>
    <n v="777.56171284634763"/>
    <n v="5144.8666666666668"/>
    <x v="132"/>
    <n v="0.10751169450455471"/>
    <n v="341880"/>
  </r>
  <r>
    <n v="134"/>
    <x v="12"/>
    <x v="1"/>
    <x v="1"/>
    <x v="1"/>
    <x v="0"/>
    <n v="348934"/>
    <n v="2358224"/>
    <x v="133"/>
    <x v="122"/>
    <x v="91"/>
    <x v="43"/>
    <n v="3.968253968253968E-2"/>
    <n v="6.9993350928495342E-3"/>
    <n v="7.9389312977099238E-2"/>
    <n v="5042"/>
    <n v="19.716709075487703"/>
    <n v="496.86106870229008"/>
    <n v="6258.5384615384619"/>
    <x v="133"/>
    <n v="-0.19438060004178906"/>
    <n v="262184"/>
  </r>
  <r>
    <n v="135"/>
    <x v="12"/>
    <x v="1"/>
    <x v="2"/>
    <x v="2"/>
    <x v="1"/>
    <n v="89459845"/>
    <n v="225350"/>
    <x v="134"/>
    <x v="123"/>
    <x v="58"/>
    <x v="7"/>
    <n v="2.218770800976259E-2"/>
    <n v="0.02"/>
    <n v="0.17"/>
    <n v="8980"/>
    <n v="13.664987796760593"/>
    <n v="615.88099999999997"/>
    <n v="3622.8294117647056"/>
    <x v="134"/>
    <n v="1.4787255979645417"/>
    <n v="152660"/>
  </r>
  <r>
    <n v="136"/>
    <x v="12"/>
    <x v="1"/>
    <x v="3"/>
    <x v="2"/>
    <x v="1"/>
    <n v="127823"/>
    <n v="3452027"/>
    <x v="135"/>
    <x v="124"/>
    <x v="86"/>
    <x v="44"/>
    <n v="3.1473771856786015E-2"/>
    <n v="3.4791153139879846E-3"/>
    <n v="0.14814814814814814"/>
    <n v="2198"/>
    <n v="18.031806827643631"/>
    <n v="572.9153439153439"/>
    <n v="3867.1785714285716"/>
    <x v="135"/>
    <n v="-0.43162697056732019"/>
    <n v="123088"/>
  </r>
  <r>
    <n v="137"/>
    <x v="12"/>
    <x v="1"/>
    <x v="4"/>
    <x v="2"/>
    <x v="2"/>
    <n v="10934"/>
    <n v="2250900"/>
    <x v="136"/>
    <x v="125"/>
    <x v="92"/>
    <x v="45"/>
    <n v="3.509707228219823E-2"/>
    <n v="0.01"/>
    <n v="0.2"/>
    <n v="8206.0126582278481"/>
    <n v="9.1094673241814377"/>
    <n v="259.55063291139243"/>
    <n v="1297.753164556962"/>
    <x v="136"/>
    <n v="5.3232461167060885"/>
    <n v="1296550"/>
  </r>
  <r>
    <n v="138"/>
    <x v="12"/>
    <x v="1"/>
    <x v="5"/>
    <x v="0"/>
    <x v="0"/>
    <n v="9034945"/>
    <n v="2698200"/>
    <x v="137"/>
    <x v="126"/>
    <x v="93"/>
    <x v="46"/>
    <n v="1.623304425172337E-2"/>
    <n v="5.0000000000000001E-3"/>
    <n v="0.11872146118721461"/>
    <n v="6784"/>
    <n v="6.5854866207101033"/>
    <n v="405.68401826484018"/>
    <n v="3417.1076923076926"/>
    <x v="137"/>
    <n v="0.9853047111367238"/>
    <n v="176384"/>
  </r>
  <r>
    <n v="139"/>
    <x v="12"/>
    <x v="1"/>
    <x v="6"/>
    <x v="1"/>
    <x v="0"/>
    <n v="983498"/>
    <n v="5100600"/>
    <x v="138"/>
    <x v="48"/>
    <x v="94"/>
    <x v="30"/>
    <n v="1.9997647335607577E-2"/>
    <n v="5.0000000000000001E-3"/>
    <n v="1.1764705882352941E-2"/>
    <n v="1689"/>
    <n v="0.65313100419558479"/>
    <n v="32.660392156862741"/>
    <n v="2776.1333333333332"/>
    <x v="138"/>
    <n v="-0.39159982709764179"/>
    <n v="10134"/>
  </r>
  <r>
    <n v="140"/>
    <x v="12"/>
    <x v="1"/>
    <x v="7"/>
    <x v="2"/>
    <x v="0"/>
    <n v="4387490"/>
    <n v="50333"/>
    <x v="139"/>
    <x v="127"/>
    <x v="16"/>
    <x v="6"/>
    <n v="1.2582781456953643E-2"/>
    <n v="3.0000198676812428E-2"/>
    <n v="0.21052631578947367"/>
    <n v="4707"/>
    <n v="5.5411125827814569"/>
    <n v="440.37263157894739"/>
    <n v="2091.77"/>
    <x v="139"/>
    <n v="1.2502473981365063"/>
    <n v="18828"/>
  </r>
  <r>
    <n v="141"/>
    <x v="12"/>
    <x v="1"/>
    <x v="8"/>
    <x v="2"/>
    <x v="0"/>
    <n v="544756"/>
    <n v="495013"/>
    <x v="140"/>
    <x v="128"/>
    <x v="95"/>
    <x v="33"/>
    <n v="2.1312021312021312E-2"/>
    <n v="1.2133014688503131E-2"/>
    <n v="0.1484375"/>
    <n v="1265"/>
    <n v="28.526806526806528"/>
    <n v="1338.53125"/>
    <n v="9017.4736842105267"/>
    <x v="140"/>
    <n v="-0.8597168071346859"/>
    <n v="24035"/>
  </r>
  <r>
    <n v="142"/>
    <x v="12"/>
    <x v="1"/>
    <x v="9"/>
    <x v="2"/>
    <x v="2"/>
    <n v="374754"/>
    <n v="1499200"/>
    <x v="141"/>
    <x v="129"/>
    <x v="96"/>
    <x v="28"/>
    <n v="3.3351120597652083E-3"/>
    <n v="0.01"/>
    <n v="0.16"/>
    <n v="5497"/>
    <n v="2.1858391141942368"/>
    <n v="655.40199999999993"/>
    <n v="4096.2624999999998"/>
    <x v="141"/>
    <n v="0.34195501386935045"/>
    <n v="43976"/>
  </r>
  <r>
    <n v="143"/>
    <x v="12"/>
    <x v="1"/>
    <x v="10"/>
    <x v="2"/>
    <x v="3"/>
    <n v="39889"/>
    <n v="17890507"/>
    <x v="142"/>
    <x v="130"/>
    <x v="97"/>
    <x v="47"/>
    <n v="3.4964035630924595E-2"/>
    <n v="1.173415599680881E-3"/>
    <n v="0.16076294277929154"/>
    <n v="2993"/>
    <n v="18.58262277902158"/>
    <n v="531.47820163487734"/>
    <n v="3305.9745762711864"/>
    <x v="142"/>
    <n v="-9.4669383883826147E-2"/>
    <n v="353174"/>
  </r>
  <r>
    <n v="144"/>
    <x v="13"/>
    <x v="1"/>
    <x v="0"/>
    <x v="0"/>
    <x v="0"/>
    <n v="349043"/>
    <n v="2452315"/>
    <x v="143"/>
    <x v="131"/>
    <x v="98"/>
    <x v="23"/>
    <n v="7.6357073441621548E-3"/>
    <n v="5.8744492448971689E-3"/>
    <n v="0.12727272727272726"/>
    <n v="4540"/>
    <n v="4.1819311398028605"/>
    <n v="547.68090909090915"/>
    <n v="4303.2071428571426"/>
    <x v="143"/>
    <n v="5.5027064531603477E-2"/>
    <n v="63560"/>
  </r>
  <r>
    <n v="145"/>
    <x v="13"/>
    <x v="1"/>
    <x v="1"/>
    <x v="1"/>
    <x v="0"/>
    <n v="348934"/>
    <n v="7936534"/>
    <x v="144"/>
    <x v="132"/>
    <x v="99"/>
    <x v="48"/>
    <n v="2.0003030762236702E-2"/>
    <n v="2.4944138083450532E-3"/>
    <n v="7.575757575757576E-2"/>
    <n v="4981"/>
    <n v="9.9988887205132091"/>
    <n v="499.86868686868689"/>
    <n v="6598.2666666666664"/>
    <x v="144"/>
    <n v="-0.24510477499141189"/>
    <n v="149430"/>
  </r>
  <r>
    <n v="146"/>
    <x v="13"/>
    <x v="1"/>
    <x v="2"/>
    <x v="2"/>
    <x v="1"/>
    <n v="89459845"/>
    <n v="263754"/>
    <x v="145"/>
    <x v="133"/>
    <x v="68"/>
    <x v="31"/>
    <n v="1.6638935108153077E-2"/>
    <n v="2.0507745854091312E-2"/>
    <n v="0.12222222222222222"/>
    <n v="7653"/>
    <n v="10.43451654649658"/>
    <n v="627.11444444444453"/>
    <n v="5130.9363636363641"/>
    <x v="145"/>
    <n v="0.49154061902576696"/>
    <n v="84183"/>
  </r>
  <r>
    <n v="147"/>
    <x v="13"/>
    <x v="1"/>
    <x v="3"/>
    <x v="2"/>
    <x v="1"/>
    <n v="127823"/>
    <n v="3111389"/>
    <x v="146"/>
    <x v="134"/>
    <x v="100"/>
    <x v="49"/>
    <n v="3.4607366226546213E-2"/>
    <n v="4.6249440362487624E-3"/>
    <n v="9.6385542168674704E-2"/>
    <n v="2110"/>
    <n v="13.689923558026408"/>
    <n v="395.57831325301203"/>
    <n v="4104.125"/>
    <x v="146"/>
    <n v="-0.48588310541223767"/>
    <n v="101280"/>
  </r>
  <r>
    <n v="148"/>
    <x v="13"/>
    <x v="1"/>
    <x v="4"/>
    <x v="2"/>
    <x v="2"/>
    <n v="10934"/>
    <n v="2511956"/>
    <x v="147"/>
    <x v="135"/>
    <x v="101"/>
    <x v="50"/>
    <n v="2.0005186529841072E-2"/>
    <n v="1.0745809241881626E-2"/>
    <n v="0.15740740740740741"/>
    <n v="8630"/>
    <n v="8.5855962656985145"/>
    <n v="429.16851851851851"/>
    <n v="2726.4823529411765"/>
    <x v="147"/>
    <n v="2.1652506353802141"/>
    <n v="733550"/>
  </r>
  <r>
    <n v="149"/>
    <x v="13"/>
    <x v="1"/>
    <x v="5"/>
    <x v="0"/>
    <x v="0"/>
    <n v="9034945"/>
    <n v="3239400"/>
    <x v="148"/>
    <x v="136"/>
    <x v="102"/>
    <x v="51"/>
    <n v="3.7290856331419396E-2"/>
    <n v="5.0000000000000001E-3"/>
    <n v="0.11920529801324503"/>
    <n v="5241"/>
    <n v="19.314934864481078"/>
    <n v="517.95364238410593"/>
    <n v="4345.0555555555557"/>
    <x v="148"/>
    <n v="0.20619861656288757"/>
    <n v="377352"/>
  </r>
  <r>
    <n v="150"/>
    <x v="13"/>
    <x v="1"/>
    <x v="6"/>
    <x v="1"/>
    <x v="0"/>
    <n v="983498"/>
    <n v="5130500"/>
    <x v="149"/>
    <x v="137"/>
    <x v="103"/>
    <x v="52"/>
    <n v="3.0553558590941769E-2"/>
    <n v="5.9647207874476173E-3"/>
    <n v="5.7754010695187166E-2"/>
    <n v="2217"/>
    <n v="7.1311678975230377"/>
    <n v="233.39893048128343"/>
    <n v="4041.2592592592591"/>
    <x v="149"/>
    <n v="-0.45140861850908226"/>
    <n v="119718"/>
  </r>
  <r>
    <n v="151"/>
    <x v="13"/>
    <x v="1"/>
    <x v="7"/>
    <x v="2"/>
    <x v="0"/>
    <n v="4387490"/>
    <n v="55495"/>
    <x v="150"/>
    <x v="138"/>
    <x v="9"/>
    <x v="3"/>
    <n v="5.5865921787709499E-3"/>
    <n v="3.2255158122353363E-2"/>
    <n v="0.2"/>
    <n v="5451"/>
    <n v="2.6616424581005589"/>
    <n v="476.43400000000003"/>
    <n v="2382.17"/>
    <x v="150"/>
    <n v="1.2882497890578757"/>
    <n v="10902"/>
  </r>
  <r>
    <n v="152"/>
    <x v="13"/>
    <x v="1"/>
    <x v="8"/>
    <x v="2"/>
    <x v="0"/>
    <n v="544756"/>
    <n v="605220"/>
    <x v="151"/>
    <x v="139"/>
    <x v="61"/>
    <x v="27"/>
    <n v="1.9708535739070089E-2"/>
    <n v="1.1904761904761904E-2"/>
    <n v="0.14788732394366197"/>
    <n v="680"/>
    <n v="23.694517696044414"/>
    <n v="1202.2464788732395"/>
    <n v="8129.4761904761908"/>
    <x v="151"/>
    <n v="-0.91635377433091803"/>
    <n v="14280"/>
  </r>
  <r>
    <n v="153"/>
    <x v="13"/>
    <x v="1"/>
    <x v="9"/>
    <x v="2"/>
    <x v="2"/>
    <n v="374754"/>
    <n v="2429465"/>
    <x v="152"/>
    <x v="140"/>
    <x v="104"/>
    <x v="53"/>
    <n v="1.9668852094677187E-2"/>
    <n v="7.4082153889848176E-3"/>
    <n v="0.14971751412429379"/>
    <n v="5789"/>
    <n v="11.438493165907323"/>
    <n v="581.55367231638422"/>
    <n v="3884.3396226415093"/>
    <x v="152"/>
    <n v="0.49034342060523634"/>
    <n v="306817"/>
  </r>
  <r>
    <n v="154"/>
    <x v="13"/>
    <x v="1"/>
    <x v="10"/>
    <x v="2"/>
    <x v="3"/>
    <n v="39889"/>
    <n v="7218480"/>
    <x v="153"/>
    <x v="141"/>
    <x v="105"/>
    <x v="25"/>
    <n v="2.0007939658594681E-2"/>
    <n v="3.4896543316598506E-3"/>
    <n v="0.15079365079365079"/>
    <n v="3106"/>
    <n v="8.9429932512901953"/>
    <n v="446.97222222222223"/>
    <n v="2964.1315789473683"/>
    <x v="153"/>
    <n v="4.7861715066985097E-2"/>
    <n v="236056"/>
  </r>
  <r>
    <n v="155"/>
    <x v="14"/>
    <x v="0"/>
    <x v="0"/>
    <x v="0"/>
    <x v="0"/>
    <n v="349043"/>
    <n v="3361800"/>
    <x v="154"/>
    <x v="142"/>
    <x v="106"/>
    <x v="48"/>
    <n v="1.4694508894044857E-2"/>
    <n v="5.0000000000000001E-3"/>
    <n v="0.1214574898785425"/>
    <n v="4981"/>
    <n v="9.9984532095901013"/>
    <n v="680.42105263157896"/>
    <n v="5602.1333333333332"/>
    <x v="154"/>
    <n v="-0.11087442878903275"/>
    <n v="149430"/>
  </r>
  <r>
    <n v="156"/>
    <x v="14"/>
    <x v="0"/>
    <x v="1"/>
    <x v="1"/>
    <x v="0"/>
    <n v="348934"/>
    <n v="3441545"/>
    <x v="155"/>
    <x v="143"/>
    <x v="107"/>
    <x v="54"/>
    <n v="3.0039388823962256E-2"/>
    <n v="6.7129733884054984E-3"/>
    <n v="0.11671469740634005"/>
    <n v="4981"/>
    <n v="25.692594035406657"/>
    <n v="855.29682997118152"/>
    <n v="7328.0987654320988"/>
    <x v="155"/>
    <n v="-0.32028754531854386"/>
    <n v="403461"/>
  </r>
  <r>
    <n v="157"/>
    <x v="14"/>
    <x v="0"/>
    <x v="2"/>
    <x v="2"/>
    <x v="1"/>
    <n v="89459845"/>
    <n v="315350"/>
    <x v="156"/>
    <x v="144"/>
    <x v="108"/>
    <x v="33"/>
    <n v="1.9977802441731411E-2"/>
    <n v="0.02"/>
    <n v="0.15079365079365079"/>
    <n v="7267"/>
    <n v="13.148993182178531"/>
    <n v="658.18015873015872"/>
    <n v="4364.773684210526"/>
    <x v="156"/>
    <n v="0.66492022857638977"/>
    <n v="138073"/>
  </r>
  <r>
    <n v="158"/>
    <x v="14"/>
    <x v="0"/>
    <x v="3"/>
    <x v="2"/>
    <x v="1"/>
    <n v="127823"/>
    <n v="3359600"/>
    <x v="157"/>
    <x v="145"/>
    <x v="38"/>
    <x v="16"/>
    <n v="2.0002381235861413E-2"/>
    <n v="5.0000000000000001E-3"/>
    <n v="9.2261904761904767E-2"/>
    <n v="2981"/>
    <n v="7.4326705560185733"/>
    <n v="371.58928571428572"/>
    <n v="4027.5483870967741"/>
    <x v="157"/>
    <n v="-0.25984750188219841"/>
    <n v="92411"/>
  </r>
  <r>
    <n v="159"/>
    <x v="14"/>
    <x v="0"/>
    <x v="4"/>
    <x v="2"/>
    <x v="2"/>
    <n v="10934"/>
    <n v="2478877"/>
    <x v="158"/>
    <x v="146"/>
    <x v="109"/>
    <x v="55"/>
    <n v="1.9997460639918741E-2"/>
    <n v="1.2708980719898568E-2"/>
    <n v="0.15555555555555556"/>
    <n v="7981"/>
    <n v="4.8082783138649061"/>
    <n v="240.44444444444446"/>
    <n v="1545.7142857142858"/>
    <x v="158"/>
    <n v="4.163308687615527"/>
    <n v="782138"/>
  </r>
  <r>
    <n v="160"/>
    <x v="14"/>
    <x v="0"/>
    <x v="5"/>
    <x v="0"/>
    <x v="0"/>
    <n v="9034945"/>
    <n v="3780200"/>
    <x v="159"/>
    <x v="147"/>
    <x v="86"/>
    <x v="56"/>
    <n v="1.9998941854928311E-2"/>
    <n v="5.0000000000000001E-3"/>
    <n v="0.11904761904761904"/>
    <n v="5981"/>
    <n v="7.2096185387016556"/>
    <n v="360.5"/>
    <n v="3028.2"/>
    <x v="159"/>
    <n v="0.97510071989961034"/>
    <n v="269145"/>
  </r>
  <r>
    <n v="161"/>
    <x v="14"/>
    <x v="0"/>
    <x v="6"/>
    <x v="1"/>
    <x v="0"/>
    <n v="983498"/>
    <n v="7138400"/>
    <x v="160"/>
    <x v="148"/>
    <x v="110"/>
    <x v="31"/>
    <n v="2.566401434495125E-2"/>
    <n v="5.0000000000000001E-3"/>
    <n v="1.2008733624454149E-2"/>
    <n v="1981"/>
    <n v="1.0394093914602711"/>
    <n v="40.500655021834056"/>
    <n v="3372.6"/>
    <x v="160"/>
    <n v="-0.41261934412619344"/>
    <n v="21791"/>
  </r>
  <r>
    <n v="162"/>
    <x v="14"/>
    <x v="0"/>
    <x v="7"/>
    <x v="2"/>
    <x v="0"/>
    <n v="4387490"/>
    <n v="63986"/>
    <x v="161"/>
    <x v="149"/>
    <x v="111"/>
    <x v="26"/>
    <n v="1.3339685564554549E-2"/>
    <n v="3.2804050886131343E-2"/>
    <n v="0.17857142857142858"/>
    <n v="4981"/>
    <n v="6.9602191519771317"/>
    <n v="521.76785714285711"/>
    <n v="2921.9"/>
    <x v="161"/>
    <n v="0.70471268695027212"/>
    <n v="24905"/>
  </r>
  <r>
    <n v="163"/>
    <x v="14"/>
    <x v="0"/>
    <x v="8"/>
    <x v="2"/>
    <x v="0"/>
    <n v="544756"/>
    <n v="1093435"/>
    <x v="162"/>
    <x v="150"/>
    <x v="35"/>
    <x v="0"/>
    <n v="4.7607712449416806E-4"/>
    <n v="7.6840415754022874E-3"/>
    <n v="0.25"/>
    <n v="741"/>
    <n v="0.78407045941442521"/>
    <n v="1646.94"/>
    <n v="6587.76"/>
    <x v="162"/>
    <n v="-0.88751867098983572"/>
    <n v="741"/>
  </r>
  <r>
    <n v="164"/>
    <x v="14"/>
    <x v="0"/>
    <x v="9"/>
    <x v="2"/>
    <x v="2"/>
    <n v="374754"/>
    <n v="2100700"/>
    <x v="163"/>
    <x v="151"/>
    <x v="112"/>
    <x v="57"/>
    <n v="5.8075879468748514E-3"/>
    <n v="0.01"/>
    <n v="0.19672131147540983"/>
    <n v="4308"/>
    <n v="3.9249773884895509"/>
    <n v="675.8360655737705"/>
    <n v="3435.5"/>
    <x v="163"/>
    <n v="0.25396594382186"/>
    <n v="103392"/>
  </r>
  <r>
    <n v="165"/>
    <x v="14"/>
    <x v="0"/>
    <x v="10"/>
    <x v="2"/>
    <x v="3"/>
    <n v="39889"/>
    <n v="8747458"/>
    <x v="164"/>
    <x v="152"/>
    <x v="113"/>
    <x v="58"/>
    <n v="3.6100714528751278E-2"/>
    <n v="3.3598332224058693E-3"/>
    <n v="0.16116870876531575"/>
    <n v="4735"/>
    <n v="18.485028921401838"/>
    <n v="512.04052780395853"/>
    <n v="3177.0467836257308"/>
    <x v="164"/>
    <n v="0.49037780129768532"/>
    <n v="809685"/>
  </r>
  <r>
    <n v="166"/>
    <x v="15"/>
    <x v="0"/>
    <x v="0"/>
    <x v="0"/>
    <x v="0"/>
    <n v="349043"/>
    <n v="3839000"/>
    <x v="165"/>
    <x v="153"/>
    <x v="114"/>
    <x v="59"/>
    <n v="2.0005209690023444E-2"/>
    <n v="5.0000000000000001E-3"/>
    <n v="0.16666666666666666"/>
    <n v="5257"/>
    <n v="20.475488408439698"/>
    <n v="1023.5078125"/>
    <n v="6141.046875"/>
    <x v="165"/>
    <n v="-0.14395703094189458"/>
    <n v="336448"/>
  </r>
  <r>
    <n v="167"/>
    <x v="15"/>
    <x v="0"/>
    <x v="1"/>
    <x v="1"/>
    <x v="0"/>
    <n v="348934"/>
    <n v="5280000"/>
    <x v="166"/>
    <x v="154"/>
    <x v="115"/>
    <x v="60"/>
    <n v="3.4962121212121215E-2"/>
    <n v="5.0000000000000001E-3"/>
    <n v="8.6673889490790898E-2"/>
    <n v="4902"/>
    <n v="22.544545454545453"/>
    <n v="644.82773564463707"/>
    <n v="7439.7"/>
    <x v="166"/>
    <n v="-0.34110246380902454"/>
    <n v="392160"/>
  </r>
  <r>
    <n v="168"/>
    <x v="15"/>
    <x v="0"/>
    <x v="2"/>
    <x v="2"/>
    <x v="1"/>
    <n v="89459845"/>
    <n v="373184"/>
    <x v="167"/>
    <x v="104"/>
    <x v="21"/>
    <x v="61"/>
    <n v="2.0005557099194219E-2"/>
    <n v="1.9288072371805864E-2"/>
    <n v="0.15277777777777779"/>
    <n v="8431"/>
    <n v="14.177966101694915"/>
    <n v="708.70138888888891"/>
    <n v="4638.772727272727"/>
    <x v="167"/>
    <n v="0.81750658971318824"/>
    <n v="185482"/>
  </r>
  <r>
    <n v="169"/>
    <x v="15"/>
    <x v="0"/>
    <x v="3"/>
    <x v="2"/>
    <x v="1"/>
    <n v="127823"/>
    <n v="3841400"/>
    <x v="168"/>
    <x v="155"/>
    <x v="116"/>
    <x v="62"/>
    <n v="3.4674858124642056E-2"/>
    <n v="5.0000000000000001E-3"/>
    <n v="0.1006006006006006"/>
    <n v="2981"/>
    <n v="14.156609569427813"/>
    <n v="408.26726726726724"/>
    <n v="4058.2985074626868"/>
    <x v="168"/>
    <n v="-0.26545570895824294"/>
    <n v="199727"/>
  </r>
  <r>
    <n v="170"/>
    <x v="15"/>
    <x v="0"/>
    <x v="4"/>
    <x v="2"/>
    <x v="2"/>
    <n v="10934"/>
    <n v="4371118"/>
    <x v="169"/>
    <x v="156"/>
    <x v="117"/>
    <x v="63"/>
    <n v="2.0000555570988083E-2"/>
    <n v="8.2356504674547786E-3"/>
    <n v="0.17777777777777778"/>
    <n v="7981.015625"/>
    <n v="6.1462262840634461"/>
    <n v="307.30277777777781"/>
    <n v="1728.578125"/>
    <x v="169"/>
    <n v="3.6170985907854178"/>
    <n v="1021570"/>
  </r>
  <r>
    <n v="171"/>
    <x v="15"/>
    <x v="0"/>
    <x v="5"/>
    <x v="0"/>
    <x v="0"/>
    <n v="9034945"/>
    <n v="4319200"/>
    <x v="170"/>
    <x v="157"/>
    <x v="118"/>
    <x v="34"/>
    <n v="2.0003704389701796E-2"/>
    <n v="5.0000000000000001E-3"/>
    <n v="7.8703703703703706E-2"/>
    <n v="5058"/>
    <n v="6.6530839044267456"/>
    <n v="332.59259259259261"/>
    <n v="4225.8823529411766"/>
    <x v="170"/>
    <n v="0.1969097995545657"/>
    <n v="171972"/>
  </r>
  <r>
    <n v="172"/>
    <x v="15"/>
    <x v="0"/>
    <x v="6"/>
    <x v="1"/>
    <x v="0"/>
    <n v="983498"/>
    <n v="15988504"/>
    <x v="171"/>
    <x v="158"/>
    <x v="119"/>
    <x v="57"/>
    <n v="2.0002941609060156E-2"/>
    <n v="2.5514582227330338E-3"/>
    <n v="2.9411764705882353E-2"/>
    <n v="1726"/>
    <n v="2.5428004118252683"/>
    <n v="127.12132352941177"/>
    <n v="4322.125"/>
    <x v="171"/>
    <n v="-0.60065939786563327"/>
    <n v="41424"/>
  </r>
  <r>
    <n v="173"/>
    <x v="15"/>
    <x v="0"/>
    <x v="7"/>
    <x v="2"/>
    <x v="0"/>
    <n v="4387490"/>
    <n v="80233"/>
    <x v="172"/>
    <x v="159"/>
    <x v="1"/>
    <x v="10"/>
    <n v="1.9941836310760283E-2"/>
    <n v="3.0000124636994752E-2"/>
    <n v="0.25"/>
    <n v="4981"/>
    <n v="13.174906522642294"/>
    <n v="660.66666666666663"/>
    <n v="2642.6666666666665"/>
    <x v="172"/>
    <n v="0.88483854692230068"/>
    <n v="59772"/>
  </r>
  <r>
    <n v="174"/>
    <x v="15"/>
    <x v="0"/>
    <x v="8"/>
    <x v="2"/>
    <x v="0"/>
    <n v="544756"/>
    <n v="1576818"/>
    <x v="173"/>
    <x v="160"/>
    <x v="120"/>
    <x v="64"/>
    <n v="3.0426174846306137E-2"/>
    <n v="6.086307994962006E-3"/>
    <n v="0.13356164383561644"/>
    <n v="663"/>
    <n v="36.014275294362825"/>
    <n v="1183.6609589041095"/>
    <n v="8862.2820512820508"/>
    <x v="173"/>
    <n v="-0.92518856924621484"/>
    <n v="25857"/>
  </r>
  <r>
    <n v="175"/>
    <x v="15"/>
    <x v="0"/>
    <x v="9"/>
    <x v="2"/>
    <x v="2"/>
    <n v="374754"/>
    <n v="3937010"/>
    <x v="174"/>
    <x v="161"/>
    <x v="121"/>
    <x v="65"/>
    <n v="3.4717012586479953E-2"/>
    <n v="6.0944727089847373E-3"/>
    <n v="0.19207683073229292"/>
    <n v="5871"/>
    <n v="25.877427690255896"/>
    <n v="745.38175270108047"/>
    <n v="3880.6437500000002"/>
    <x v="174"/>
    <n v="0.51289331827998896"/>
    <n v="939360"/>
  </r>
  <r>
    <n v="176"/>
    <x v="15"/>
    <x v="0"/>
    <x v="10"/>
    <x v="2"/>
    <x v="3"/>
    <n v="39889"/>
    <n v="56876855"/>
    <x v="175"/>
    <x v="162"/>
    <x v="122"/>
    <x v="66"/>
    <n v="1.238390092879257E-2"/>
    <n v="5.9060930847881798E-4"/>
    <n v="0.14903846153846154"/>
    <n v="3981"/>
    <n v="6.1450345320314357"/>
    <n v="496.21153846153845"/>
    <n v="3329.4193548387098"/>
    <x v="175"/>
    <n v="0.19570398790838275"/>
    <n v="246822"/>
  </r>
  <r>
    <n v="177"/>
    <x v="16"/>
    <x v="0"/>
    <x v="0"/>
    <x v="0"/>
    <x v="0"/>
    <n v="349043"/>
    <n v="4320600"/>
    <x v="176"/>
    <x v="163"/>
    <x v="123"/>
    <x v="67"/>
    <n v="3.0180993380548998E-2"/>
    <n v="5.0000000000000001E-3"/>
    <n v="0.13190184049079753"/>
    <n v="4981"/>
    <n v="22.674211915011803"/>
    <n v="751.27453987730064"/>
    <n v="5695.7093023255811"/>
    <x v="176"/>
    <n v="-0.12548205401454787"/>
    <n v="428366"/>
  </r>
  <r>
    <n v="178"/>
    <x v="16"/>
    <x v="0"/>
    <x v="1"/>
    <x v="1"/>
    <x v="0"/>
    <n v="348934"/>
    <n v="6102420"/>
    <x v="177"/>
    <x v="164"/>
    <x v="124"/>
    <x v="40"/>
    <n v="1.9997306760032318E-2"/>
    <n v="4.8675771251405183E-3"/>
    <n v="0.1026936026936027"/>
    <n v="4981"/>
    <n v="13.590459197414489"/>
    <n v="679.61447811447806"/>
    <n v="6617.8852459016398"/>
    <x v="177"/>
    <n v="-0.24734264573646675"/>
    <n v="303841"/>
  </r>
  <r>
    <n v="179"/>
    <x v="16"/>
    <x v="0"/>
    <x v="2"/>
    <x v="2"/>
    <x v="1"/>
    <n v="89459845"/>
    <n v="490058"/>
    <x v="178"/>
    <x v="165"/>
    <x v="125"/>
    <x v="16"/>
    <n v="1.9990128331688055E-2"/>
    <n v="1.653681809091985E-2"/>
    <n v="0.19135802469135801"/>
    <n v="7346"/>
    <n v="14.340202369200394"/>
    <n v="717.3641975308642"/>
    <n v="3748.8064516129034"/>
    <x v="178"/>
    <n v="0.95955702029893386"/>
    <n v="227726"/>
  </r>
  <r>
    <n v="180"/>
    <x v="16"/>
    <x v="0"/>
    <x v="3"/>
    <x v="2"/>
    <x v="1"/>
    <n v="127823"/>
    <n v="4319200"/>
    <x v="179"/>
    <x v="157"/>
    <x v="126"/>
    <x v="68"/>
    <n v="2.0466753102426374E-2"/>
    <n v="5.0000000000000001E-3"/>
    <n v="9.9547511312217188E-2"/>
    <n v="3107"/>
    <n v="8.3452028153361741"/>
    <n v="407.74434389140271"/>
    <n v="4095.9772727272725"/>
    <x v="179"/>
    <n v="-0.24145086920093439"/>
    <n v="136708"/>
  </r>
  <r>
    <n v="181"/>
    <x v="16"/>
    <x v="0"/>
    <x v="4"/>
    <x v="2"/>
    <x v="2"/>
    <n v="10934"/>
    <n v="4049400"/>
    <x v="180"/>
    <x v="166"/>
    <x v="127"/>
    <x v="69"/>
    <n v="1.8422482343063169E-2"/>
    <n v="0.01"/>
    <n v="0.19973190348525469"/>
    <n v="7981.0067114093963"/>
    <n v="8.9843186644935056"/>
    <n v="487.6823056300268"/>
    <n v="2441.6845637583892"/>
    <x v="180"/>
    <n v="2.268647731926742"/>
    <n v="1189170"/>
  </r>
  <r>
    <n v="182"/>
    <x v="16"/>
    <x v="0"/>
    <x v="5"/>
    <x v="0"/>
    <x v="0"/>
    <n v="9034945"/>
    <n v="4999407"/>
    <x v="181"/>
    <x v="167"/>
    <x v="128"/>
    <x v="70"/>
    <n v="2.4944430723635464E-2"/>
    <n v="4.859376322031793E-3"/>
    <n v="0.12046204620462046"/>
    <n v="6802"/>
    <n v="10.126903762245822"/>
    <n v="405.97854785478546"/>
    <n v="3370.178082191781"/>
    <x v="181"/>
    <n v="1.0182909727952265"/>
    <n v="496546"/>
  </r>
  <r>
    <n v="183"/>
    <x v="16"/>
    <x v="0"/>
    <x v="6"/>
    <x v="1"/>
    <x v="0"/>
    <n v="983498"/>
    <n v="32964848"/>
    <x v="182"/>
    <x v="168"/>
    <x v="129"/>
    <x v="71"/>
    <n v="2.1216807894220924E-2"/>
    <n v="1.3926046314546938E-3"/>
    <n v="4.7227926078028747E-2"/>
    <n v="2650"/>
    <n v="3.5467140087568345"/>
    <n v="167.16529774127309"/>
    <n v="3539.5434782608695"/>
    <x v="182"/>
    <n v="-0.25131587836800373"/>
    <n v="121900"/>
  </r>
  <r>
    <n v="184"/>
    <x v="16"/>
    <x v="0"/>
    <x v="7"/>
    <x v="2"/>
    <x v="0"/>
    <n v="4387490"/>
    <n v="84332"/>
    <x v="183"/>
    <x v="23"/>
    <x v="13"/>
    <x v="31"/>
    <n v="2.0014825796886581E-2"/>
    <n v="3.1992600673528437E-2"/>
    <n v="0.20370370370370369"/>
    <n v="4131"/>
    <n v="11.646590066716087"/>
    <n v="581.89814814814815"/>
    <n v="2856.590909090909"/>
    <x v="183"/>
    <n v="0.44612936590023072"/>
    <n v="45441"/>
  </r>
  <r>
    <n v="185"/>
    <x v="16"/>
    <x v="0"/>
    <x v="8"/>
    <x v="2"/>
    <x v="0"/>
    <n v="544756"/>
    <n v="1361187"/>
    <x v="184"/>
    <x v="169"/>
    <x v="130"/>
    <x v="39"/>
    <n v="1.9981498612395929E-2"/>
    <n v="7.9415980317179054E-3"/>
    <n v="0.14814814814814814"/>
    <n v="981"/>
    <n v="26.943015726179464"/>
    <n v="1348.398148148148"/>
    <n v="9101.6875"/>
    <x v="184"/>
    <n v="-0.89221778928358064"/>
    <n v="31392"/>
  </r>
  <r>
    <n v="186"/>
    <x v="16"/>
    <x v="0"/>
    <x v="9"/>
    <x v="2"/>
    <x v="2"/>
    <n v="374754"/>
    <n v="2795511"/>
    <x v="185"/>
    <x v="170"/>
    <x v="131"/>
    <x v="29"/>
    <n v="2.9455353834753614E-2"/>
    <n v="9.6547643704496238E-3"/>
    <n v="0.14968553459119496"/>
    <n v="4981"/>
    <n v="17.139903668025195"/>
    <n v="581.8943396226415"/>
    <n v="3887.4453781512607"/>
    <x v="185"/>
    <n v="0.28130417677245861"/>
    <n v="592739"/>
  </r>
  <r>
    <n v="187"/>
    <x v="16"/>
    <x v="0"/>
    <x v="10"/>
    <x v="2"/>
    <x v="3"/>
    <n v="39889"/>
    <n v="16553044"/>
    <x v="186"/>
    <x v="171"/>
    <x v="132"/>
    <x v="72"/>
    <n v="1.9997354847242427E-2"/>
    <n v="2.2838699637359751E-3"/>
    <n v="0.18783068783068782"/>
    <n v="3981"/>
    <n v="13.844676630075387"/>
    <n v="692.32539682539687"/>
    <n v="3685.9014084507044"/>
    <x v="186"/>
    <n v="8.0061444636777362E-2"/>
    <n v="565302"/>
  </r>
  <r>
    <n v="188"/>
    <x v="17"/>
    <x v="0"/>
    <x v="0"/>
    <x v="0"/>
    <x v="0"/>
    <n v="349043"/>
    <n v="4798200"/>
    <x v="187"/>
    <x v="172"/>
    <x v="133"/>
    <x v="30"/>
    <n v="2.5426201492226254E-3"/>
    <n v="5.0000000000000001E-3"/>
    <n v="9.8360655737704916E-2"/>
    <n v="4281"/>
    <n v="1.2876578717018883"/>
    <n v="506.42950819672132"/>
    <n v="5148.7"/>
    <x v="187"/>
    <n v="-0.16852797793617807"/>
    <n v="25686"/>
  </r>
  <r>
    <n v="189"/>
    <x v="17"/>
    <x v="0"/>
    <x v="1"/>
    <x v="1"/>
    <x v="0"/>
    <n v="348934"/>
    <n v="4678356"/>
    <x v="188"/>
    <x v="173"/>
    <x v="134"/>
    <x v="15"/>
    <n v="3.9784262036784535E-2"/>
    <n v="7.0544011614336322E-3"/>
    <n v="3.8842345773038842E-2"/>
    <n v="4661"/>
    <n v="11.310911129291277"/>
    <n v="284.30616907844632"/>
    <n v="7319.4901960784309"/>
    <x v="188"/>
    <n v="-0.36320701645351922"/>
    <n v="237711"/>
  </r>
  <r>
    <n v="190"/>
    <x v="17"/>
    <x v="0"/>
    <x v="2"/>
    <x v="2"/>
    <x v="1"/>
    <n v="89459845"/>
    <n v="527210"/>
    <x v="189"/>
    <x v="108"/>
    <x v="125"/>
    <x v="35"/>
    <n v="1.799200355397601E-2"/>
    <n v="1.7078583486656172E-2"/>
    <n v="0.1728395061728395"/>
    <n v="7656"/>
    <n v="13.27654375832963"/>
    <n v="737.91358024691363"/>
    <n v="4269.3571428571431"/>
    <x v="189"/>
    <n v="0.7932442154221947"/>
    <n v="214368"/>
  </r>
  <r>
    <n v="191"/>
    <x v="17"/>
    <x v="0"/>
    <x v="3"/>
    <x v="2"/>
    <x v="1"/>
    <n v="127823"/>
    <n v="10593685"/>
    <x v="190"/>
    <x v="174"/>
    <x v="135"/>
    <x v="73"/>
    <n v="1.9995834201208082E-2"/>
    <n v="2.2659726053776376E-3"/>
    <n v="8.9583333333333334E-2"/>
    <n v="2171"/>
    <n v="8.3726723599250157"/>
    <n v="418.72083333333336"/>
    <n v="4674.0930232558139"/>
    <x v="190"/>
    <n v="-0.53552486242822883"/>
    <n v="93353"/>
  </r>
  <r>
    <n v="192"/>
    <x v="17"/>
    <x v="0"/>
    <x v="4"/>
    <x v="2"/>
    <x v="2"/>
    <n v="10934"/>
    <n v="4064081"/>
    <x v="191"/>
    <x v="175"/>
    <x v="21"/>
    <x v="16"/>
    <n v="3.199715580837259E-3"/>
    <n v="1.1073598188618781E-2"/>
    <n v="0.21527777777777779"/>
    <n v="8287"/>
    <n v="1.9225602168696114"/>
    <n v="600.85347222222219"/>
    <n v="2791.0612903225806"/>
    <x v="191"/>
    <n v="1.9691214695762627"/>
    <n v="256897"/>
  </r>
  <r>
    <n v="193"/>
    <x v="17"/>
    <x v="0"/>
    <x v="5"/>
    <x v="0"/>
    <x v="0"/>
    <n v="9034945"/>
    <n v="11212959"/>
    <x v="192"/>
    <x v="176"/>
    <x v="136"/>
    <x v="51"/>
    <n v="2.2177792587655967E-2"/>
    <n v="2.4087308265374019E-3"/>
    <n v="0.12020033388981637"/>
    <n v="5981"/>
    <n v="8.9373171905661071"/>
    <n v="402.98497495826376"/>
    <n v="3352.6111111111113"/>
    <x v="192"/>
    <n v="0.78398263376804145"/>
    <n v="430632"/>
  </r>
  <r>
    <n v="194"/>
    <x v="17"/>
    <x v="0"/>
    <x v="6"/>
    <x v="1"/>
    <x v="0"/>
    <n v="983498"/>
    <n v="13281923"/>
    <x v="193"/>
    <x v="177"/>
    <x v="137"/>
    <x v="11"/>
    <n v="0.02"/>
    <n v="3.8398054257655313E-3"/>
    <n v="1.5686274509803921E-2"/>
    <n v="2251"/>
    <n v="1.1489490196078431"/>
    <n v="57.447450980392155"/>
    <n v="3662.2750000000001"/>
    <x v="193"/>
    <n v="-0.38535473169000145"/>
    <n v="36016"/>
  </r>
  <r>
    <n v="195"/>
    <x v="17"/>
    <x v="0"/>
    <x v="7"/>
    <x v="2"/>
    <x v="0"/>
    <n v="4387490"/>
    <n v="97885"/>
    <x v="194"/>
    <x v="79"/>
    <x v="111"/>
    <x v="30"/>
    <n v="9.3614175860916079E-3"/>
    <n v="3.0556265004852635E-2"/>
    <n v="0.21428571428571427"/>
    <n v="5655"/>
    <n v="5.7427950518221333"/>
    <n v="613.45357142857142"/>
    <n v="2862.7833333333333"/>
    <x v="194"/>
    <n v="0.97535032922505482"/>
    <n v="33930"/>
  </r>
  <r>
    <n v="196"/>
    <x v="17"/>
    <x v="0"/>
    <x v="8"/>
    <x v="2"/>
    <x v="0"/>
    <n v="544756"/>
    <n v="1181224"/>
    <x v="195"/>
    <x v="178"/>
    <x v="95"/>
    <x v="33"/>
    <n v="1.0674672671170045E-2"/>
    <n v="1.0151334547892694E-2"/>
    <n v="0.1484375"/>
    <n v="943"/>
    <n v="14.329997498123593"/>
    <n v="1342.4296875"/>
    <n v="9043.7368421052633"/>
    <x v="195"/>
    <n v="-0.89572894297303751"/>
    <n v="17917"/>
  </r>
  <r>
    <n v="197"/>
    <x v="17"/>
    <x v="0"/>
    <x v="9"/>
    <x v="2"/>
    <x v="2"/>
    <n v="374754"/>
    <n v="2482796"/>
    <x v="196"/>
    <x v="179"/>
    <x v="138"/>
    <x v="74"/>
    <n v="3.44E-2"/>
    <n v="1.2083151414775922E-2"/>
    <n v="0.12984496124031009"/>
    <n v="5945"/>
    <n v="17.284333333333333"/>
    <n v="502.45155038759691"/>
    <n v="3869.626865671642"/>
    <x v="196"/>
    <n v="0.53632383854357513"/>
    <n v="796630"/>
  </r>
  <r>
    <n v="198"/>
    <x v="17"/>
    <x v="0"/>
    <x v="10"/>
    <x v="2"/>
    <x v="3"/>
    <n v="39889"/>
    <n v="419970000"/>
    <x v="197"/>
    <x v="180"/>
    <x v="139"/>
    <x v="75"/>
    <n v="2.0001428673476675E-2"/>
    <n v="1E-4"/>
    <n v="0.1357142857142857"/>
    <n v="4530"/>
    <n v="8.0895063933138083"/>
    <n v="404.44642857142856"/>
    <n v="2980.1315789473683"/>
    <x v="197"/>
    <n v="0.52006711113073423"/>
    <n v="516420"/>
  </r>
  <r>
    <n v="199"/>
    <x v="18"/>
    <x v="0"/>
    <x v="0"/>
    <x v="0"/>
    <x v="0"/>
    <n v="349043"/>
    <n v="15345139"/>
    <x v="198"/>
    <x v="181"/>
    <x v="36"/>
    <x v="2"/>
    <n v="2.6886810315446662E-3"/>
    <n v="1.7208706939702534E-3"/>
    <n v="0.14084507042253522"/>
    <n v="4455"/>
    <n v="2.0166584617715002"/>
    <n v="750.0549295774648"/>
    <n v="5325.39"/>
    <x v="198"/>
    <n v="-0.16344155075966268"/>
    <n v="44550"/>
  </r>
  <r>
    <n v="200"/>
    <x v="18"/>
    <x v="0"/>
    <x v="1"/>
    <x v="1"/>
    <x v="0"/>
    <n v="348934"/>
    <n v="7260800"/>
    <x v="199"/>
    <x v="182"/>
    <x v="140"/>
    <x v="76"/>
    <n v="1.9997796386073161E-2"/>
    <n v="5.0000000000000001E-3"/>
    <n v="7.9889807162534437E-2"/>
    <n v="4981"/>
    <n v="11.44160423093874"/>
    <n v="572.14325068870528"/>
    <n v="7161.6551724137935"/>
    <x v="199"/>
    <n v="-0.30449038943029927"/>
    <n v="288898"/>
  </r>
  <r>
    <n v="201"/>
    <x v="18"/>
    <x v="0"/>
    <x v="2"/>
    <x v="2"/>
    <x v="1"/>
    <n v="89459845"/>
    <n v="413291"/>
    <x v="200"/>
    <x v="183"/>
    <x v="8"/>
    <x v="3"/>
    <n v="1.4135702746365104E-3"/>
    <n v="2.3963744673849659E-2"/>
    <n v="0.14285714285714285"/>
    <n v="7981"/>
    <n v="0.98723243134087235"/>
    <n v="698.39642857142849"/>
    <n v="4888.7749999999996"/>
    <x v="200"/>
    <n v="0.6325153029133066"/>
    <n v="15962"/>
  </r>
  <r>
    <n v="202"/>
    <x v="18"/>
    <x v="0"/>
    <x v="3"/>
    <x v="2"/>
    <x v="1"/>
    <n v="127823"/>
    <n v="8455475"/>
    <x v="201"/>
    <x v="184"/>
    <x v="141"/>
    <x v="77"/>
    <n v="1.0641520866469741E-2"/>
    <n v="3.122946966314725E-3"/>
    <n v="7.1174377224199295E-2"/>
    <n v="3615"/>
    <n v="3.0910967204423239"/>
    <n v="290.47508896797154"/>
    <n v="4081.1750000000002"/>
    <x v="201"/>
    <n v="-0.11422568255465644"/>
    <n v="72300"/>
  </r>
  <r>
    <n v="203"/>
    <x v="18"/>
    <x v="0"/>
    <x v="4"/>
    <x v="2"/>
    <x v="2"/>
    <n v="10934"/>
    <n v="3801165"/>
    <x v="202"/>
    <x v="185"/>
    <x v="142"/>
    <x v="78"/>
    <n v="3.3649767723692187E-2"/>
    <n v="1.3024954191675446E-2"/>
    <n v="0.22148859543817526"/>
    <n v="7622.0054200542008"/>
    <n v="17.781397697434862"/>
    <n v="528.42557022809126"/>
    <n v="2385.791327913279"/>
    <x v="202"/>
    <n v="2.1947494027990917"/>
    <n v="2812520"/>
  </r>
  <r>
    <n v="204"/>
    <x v="18"/>
    <x v="0"/>
    <x v="5"/>
    <x v="0"/>
    <x v="0"/>
    <n v="9034945"/>
    <n v="6168252"/>
    <x v="203"/>
    <x v="186"/>
    <x v="143"/>
    <x v="79"/>
    <n v="3.6432203104481635E-2"/>
    <n v="4.8148162558857843E-3"/>
    <n v="8.8724584103512014E-2"/>
    <n v="5981"/>
    <n v="10.127445368530926"/>
    <n v="277.98059149722735"/>
    <n v="3133.0729166666665"/>
    <x v="203"/>
    <n v="0.90898844651317434"/>
    <n v="574176"/>
  </r>
  <r>
    <n v="205"/>
    <x v="18"/>
    <x v="0"/>
    <x v="6"/>
    <x v="1"/>
    <x v="0"/>
    <n v="983498"/>
    <n v="11222000"/>
    <x v="204"/>
    <x v="187"/>
    <x v="144"/>
    <x v="1"/>
    <n v="3.2970949919800393E-3"/>
    <n v="5.0000000000000001E-3"/>
    <n v="1.6216216216216217E-2"/>
    <n v="1207"/>
    <n v="0.17659918018178578"/>
    <n v="53.562054054054052"/>
    <n v="3302.9933333333333"/>
    <x v="204"/>
    <n v="-0.63457389156098809"/>
    <n v="3621"/>
  </r>
  <r>
    <n v="206"/>
    <x v="18"/>
    <x v="0"/>
    <x v="7"/>
    <x v="2"/>
    <x v="0"/>
    <n v="4387490"/>
    <n v="115166"/>
    <x v="205"/>
    <x v="188"/>
    <x v="15"/>
    <x v="0"/>
    <n v="2.1231422505307855E-3"/>
    <n v="2.8628240973898548E-2"/>
    <n v="0.14285714285714285"/>
    <n v="5199"/>
    <n v="0.96251440703669999"/>
    <n v="453.34428571428572"/>
    <n v="3173.41"/>
    <x v="205"/>
    <n v="0.63830075533889419"/>
    <n v="5199"/>
  </r>
  <r>
    <n v="207"/>
    <x v="18"/>
    <x v="0"/>
    <x v="8"/>
    <x v="2"/>
    <x v="0"/>
    <n v="544756"/>
    <n v="1320200"/>
    <x v="206"/>
    <x v="189"/>
    <x v="145"/>
    <x v="56"/>
    <n v="1.9996970156036964E-2"/>
    <n v="0.01"/>
    <n v="0.17045454545454544"/>
    <n v="1785"/>
    <n v="33.355173458566881"/>
    <n v="1668.0113636363637"/>
    <n v="9785.6666666666661"/>
    <x v="206"/>
    <n v="-0.81759035323772866"/>
    <n v="80325"/>
  </r>
  <r>
    <n v="208"/>
    <x v="18"/>
    <x v="0"/>
    <x v="9"/>
    <x v="2"/>
    <x v="2"/>
    <n v="374754"/>
    <n v="3299900"/>
    <x v="207"/>
    <x v="190"/>
    <x v="107"/>
    <x v="80"/>
    <n v="2.1030940331525198E-2"/>
    <n v="0.01"/>
    <n v="0.14985590778097982"/>
    <n v="4993"/>
    <n v="12.251431861571563"/>
    <n v="582.54322766570601"/>
    <n v="3887.3557692307691"/>
    <x v="207"/>
    <n v="0.28442064385272764"/>
    <n v="519272"/>
  </r>
  <r>
    <n v="209"/>
    <x v="18"/>
    <x v="0"/>
    <x v="10"/>
    <x v="2"/>
    <x v="3"/>
    <n v="39889"/>
    <n v="19065489"/>
    <x v="208"/>
    <x v="191"/>
    <x v="146"/>
    <x v="81"/>
    <n v="1.9996104654937352E-2"/>
    <n v="2.4236986525758663E-3"/>
    <n v="0.15043290043290045"/>
    <n v="4003"/>
    <n v="10.650003246120885"/>
    <n v="532.60389610389609"/>
    <n v="3540.4748201438847"/>
    <x v="208"/>
    <n v="0.13063930781954214"/>
    <n v="556417"/>
  </r>
  <r>
    <n v="210"/>
    <x v="19"/>
    <x v="1"/>
    <x v="0"/>
    <x v="0"/>
    <x v="0"/>
    <n v="349043"/>
    <n v="9916906"/>
    <x v="209"/>
    <x v="192"/>
    <x v="77"/>
    <x v="10"/>
    <n v="3.0559799972218363E-3"/>
    <n v="2.9037282394327422E-3"/>
    <n v="0.13636363636363635"/>
    <n v="4981"/>
    <n v="1.9750729267953882"/>
    <n v="646.29772727272723"/>
    <n v="4739.5166666666664"/>
    <x v="209"/>
    <n v="5.0951046344388191E-2"/>
    <n v="59772"/>
  </r>
  <r>
    <n v="211"/>
    <x v="19"/>
    <x v="1"/>
    <x v="1"/>
    <x v="1"/>
    <x v="0"/>
    <n v="348934"/>
    <n v="7918600"/>
    <x v="210"/>
    <x v="193"/>
    <x v="147"/>
    <x v="82"/>
    <n v="2.1544212360770844E-2"/>
    <n v="5.0000000000000001E-3"/>
    <n v="7.9718640093786639E-2"/>
    <n v="5693"/>
    <n v="11.5129189503195"/>
    <n v="534.38569753810077"/>
    <n v="6703.3970588235297"/>
    <x v="210"/>
    <n v="-0.15072910793693275"/>
    <n v="387124"/>
  </r>
  <r>
    <n v="212"/>
    <x v="19"/>
    <x v="1"/>
    <x v="2"/>
    <x v="2"/>
    <x v="1"/>
    <n v="89459845"/>
    <n v="540450"/>
    <x v="211"/>
    <x v="194"/>
    <x v="148"/>
    <x v="83"/>
    <n v="3.3213063188084001E-2"/>
    <n v="0.02"/>
    <n v="0.1309192200557103"/>
    <n v="7774"/>
    <n v="17.621334073457305"/>
    <n v="530.55431754874655"/>
    <n v="4052.5319148936169"/>
    <x v="211"/>
    <n v="0.91830691608608228"/>
    <n v="365378"/>
  </r>
  <r>
    <n v="213"/>
    <x v="19"/>
    <x v="1"/>
    <x v="3"/>
    <x v="2"/>
    <x v="1"/>
    <n v="127823"/>
    <n v="5762000"/>
    <x v="212"/>
    <x v="195"/>
    <x v="149"/>
    <x v="79"/>
    <n v="2.5407844498438043E-2"/>
    <n v="5.0000000000000001E-3"/>
    <n v="0.13114754098360656"/>
    <n v="2640"/>
    <n v="15.125650815688997"/>
    <n v="595.31420765027326"/>
    <n v="4539.270833333333"/>
    <x v="212"/>
    <n v="-0.41840879362966704"/>
    <n v="253440"/>
  </r>
  <r>
    <n v="214"/>
    <x v="19"/>
    <x v="1"/>
    <x v="4"/>
    <x v="2"/>
    <x v="2"/>
    <n v="10934"/>
    <n v="5399300"/>
    <x v="213"/>
    <x v="196"/>
    <x v="150"/>
    <x v="84"/>
    <n v="2.0261885800011113E-2"/>
    <n v="0.01"/>
    <n v="0.1663619744058501"/>
    <n v="7980.9890109890111"/>
    <n v="5.6277665623321544"/>
    <n v="277.7513711151737"/>
    <n v="1669.5604395604396"/>
    <x v="213"/>
    <n v="3.7802935562430067"/>
    <n v="1452540"/>
  </r>
  <r>
    <n v="215"/>
    <x v="19"/>
    <x v="1"/>
    <x v="5"/>
    <x v="0"/>
    <x v="0"/>
    <n v="9034945"/>
    <n v="7669421"/>
    <x v="214"/>
    <x v="197"/>
    <x v="151"/>
    <x v="81"/>
    <n v="3.096156814323198E-2"/>
    <n v="4.2239172944085347E-3"/>
    <n v="0.13858424725822532"/>
    <n v="6094"/>
    <n v="12.49381077326748"/>
    <n v="403.52642073778662"/>
    <n v="2911.776978417266"/>
    <x v="214"/>
    <n v="1.0928800677971127"/>
    <n v="847066"/>
  </r>
  <r>
    <n v="216"/>
    <x v="19"/>
    <x v="1"/>
    <x v="6"/>
    <x v="1"/>
    <x v="0"/>
    <n v="983498"/>
    <n v="12239000"/>
    <x v="215"/>
    <x v="198"/>
    <x v="152"/>
    <x v="49"/>
    <n v="2.0001634120434677E-2"/>
    <n v="5.0000000000000001E-3"/>
    <n v="3.9215686274509803E-2"/>
    <n v="1529"/>
    <n v="2.4522428302965928"/>
    <n v="122.60212418300654"/>
    <n v="3126.3541666666665"/>
    <x v="215"/>
    <n v="-0.51093192949721788"/>
    <n v="73392"/>
  </r>
  <r>
    <n v="217"/>
    <x v="19"/>
    <x v="1"/>
    <x v="7"/>
    <x v="2"/>
    <x v="0"/>
    <n v="4387490"/>
    <n v="111784"/>
    <x v="216"/>
    <x v="199"/>
    <x v="153"/>
    <x v="57"/>
    <n v="3.2276015581524764E-2"/>
    <n v="3.2151291776998499E-2"/>
    <n v="0.20689655172413793"/>
    <n v="4981"/>
    <n v="20.475097384529771"/>
    <n v="634.375"/>
    <n v="3066.1458333333335"/>
    <x v="216"/>
    <n v="0.62451503312383216"/>
    <n v="119544"/>
  </r>
  <r>
    <n v="218"/>
    <x v="19"/>
    <x v="1"/>
    <x v="8"/>
    <x v="2"/>
    <x v="0"/>
    <n v="544756"/>
    <n v="1118531"/>
    <x v="217"/>
    <x v="200"/>
    <x v="154"/>
    <x v="32"/>
    <n v="7.8477672060559764E-3"/>
    <n v="1.2873134495154806E-2"/>
    <n v="0.15929203539823009"/>
    <n v="981"/>
    <n v="12.017570664629488"/>
    <n v="1531.3362831858408"/>
    <n v="9613.3888888888887"/>
    <x v="217"/>
    <n v="-0.89795481995596416"/>
    <n v="17658"/>
  </r>
  <r>
    <n v="219"/>
    <x v="19"/>
    <x v="1"/>
    <x v="9"/>
    <x v="2"/>
    <x v="2"/>
    <n v="374754"/>
    <n v="5497354"/>
    <x v="218"/>
    <x v="201"/>
    <x v="155"/>
    <x v="85"/>
    <n v="2.2837139523253877E-2"/>
    <n v="6.5475135856268305E-3"/>
    <n v="0.16666666666666666"/>
    <n v="4981"/>
    <n v="14.018336389398232"/>
    <n v="613.83941605839414"/>
    <n v="3683.0364963503648"/>
    <x v="218"/>
    <n v="0.35241668252156266"/>
    <n v="682397"/>
  </r>
  <r>
    <n v="220"/>
    <x v="19"/>
    <x v="1"/>
    <x v="10"/>
    <x v="2"/>
    <x v="3"/>
    <n v="39889"/>
    <n v="26012342"/>
    <x v="219"/>
    <x v="202"/>
    <x v="156"/>
    <x v="86"/>
    <n v="3.3288366925884778E-2"/>
    <n v="1.9378493485899886E-3"/>
    <n v="0.1501787842669845"/>
    <n v="3980.9920634920636"/>
    <n v="14.885752261545786"/>
    <n v="447.17580452920146"/>
    <n v="2977.6230158730159"/>
    <x v="219"/>
    <n v="0.33696980520043018"/>
    <n v="1003210"/>
  </r>
  <r>
    <n v="221"/>
    <x v="20"/>
    <x v="1"/>
    <x v="0"/>
    <x v="0"/>
    <x v="0"/>
    <n v="349043"/>
    <n v="478600"/>
    <x v="220"/>
    <x v="81"/>
    <x v="56"/>
    <x v="4"/>
    <n v="2.7580442958629336E-2"/>
    <n v="5.0000000000000001E-3"/>
    <n v="0.10606060606060606"/>
    <n v="4442"/>
    <n v="16.129001253656497"/>
    <n v="584.7984848484848"/>
    <n v="5513.8142857142857"/>
    <x v="220"/>
    <n v="-0.1943870849062225"/>
    <n v="31094"/>
  </r>
  <r>
    <n v="222"/>
    <x v="20"/>
    <x v="1"/>
    <x v="1"/>
    <x v="1"/>
    <x v="0"/>
    <n v="348934"/>
    <n v="543787"/>
    <x v="221"/>
    <x v="203"/>
    <x v="154"/>
    <x v="30"/>
    <n v="3.4252803879963628E-2"/>
    <n v="6.0667136213259972E-3"/>
    <n v="5.3097345132743362E-2"/>
    <n v="4923"/>
    <n v="11.967565929069416"/>
    <n v="349.38938053097343"/>
    <n v="6580.166666666667"/>
    <x v="221"/>
    <n v="-0.25184265849395909"/>
    <n v="29538"/>
  </r>
  <r>
    <n v="223"/>
    <x v="20"/>
    <x v="1"/>
    <x v="2"/>
    <x v="2"/>
    <x v="1"/>
    <n v="89459845"/>
    <n v="49655"/>
    <x v="222"/>
    <x v="13"/>
    <x v="10"/>
    <x v="3"/>
    <n v="1.9845644983461964E-2"/>
    <n v="1.8266035645957104E-2"/>
    <n v="0.1111111111111111"/>
    <n v="7981"/>
    <n v="10.412480705622933"/>
    <n v="524.6733333333334"/>
    <n v="4722.0600000000004"/>
    <x v="222"/>
    <n v="0.69015217934545503"/>
    <n v="15962"/>
  </r>
  <r>
    <n v="224"/>
    <x v="20"/>
    <x v="1"/>
    <x v="3"/>
    <x v="2"/>
    <x v="1"/>
    <n v="127823"/>
    <n v="478400"/>
    <x v="223"/>
    <x v="55"/>
    <x v="1"/>
    <x v="26"/>
    <n v="2.0066889632107024E-2"/>
    <n v="5.0000000000000001E-3"/>
    <n v="0.10416666666666667"/>
    <n v="2582"/>
    <n v="7.306103678929766"/>
    <n v="364.08750000000003"/>
    <n v="3495.2400000000002"/>
    <x v="223"/>
    <n v="-0.26128105652258504"/>
    <n v="12910"/>
  </r>
  <r>
    <n v="225"/>
    <x v="20"/>
    <x v="1"/>
    <x v="4"/>
    <x v="2"/>
    <x v="2"/>
    <n v="10934"/>
    <n v="713896"/>
    <x v="224"/>
    <x v="123"/>
    <x v="68"/>
    <x v="77"/>
    <n v="1.9968937208786331E-2"/>
    <n v="6.3132445062025842E-3"/>
    <n v="0.22222222222222221"/>
    <n v="7981"/>
    <n v="6.8340359440869758"/>
    <n v="342.23333333333335"/>
    <n v="1540.05"/>
    <x v="224"/>
    <n v="4.1822992759975328"/>
    <n v="159620"/>
  </r>
  <r>
    <n v="226"/>
    <x v="20"/>
    <x v="1"/>
    <x v="5"/>
    <x v="0"/>
    <x v="0"/>
    <n v="9034945"/>
    <n v="555915"/>
    <x v="225"/>
    <x v="204"/>
    <x v="65"/>
    <x v="2"/>
    <n v="2.2148394241417499E-2"/>
    <n v="4.8730471385013893E-3"/>
    <n v="0.16666666666666666"/>
    <n v="5554"/>
    <n v="10.873938722775932"/>
    <n v="490.95833333333331"/>
    <n v="2945.75"/>
    <x v="225"/>
    <n v="0.88542815921242468"/>
    <n v="55540"/>
  </r>
  <r>
    <n v="227"/>
    <x v="20"/>
    <x v="1"/>
    <x v="6"/>
    <x v="1"/>
    <x v="0"/>
    <n v="983498"/>
    <n v="781353"/>
    <x v="226"/>
    <x v="17"/>
    <x v="52"/>
    <x v="6"/>
    <n v="1.9984326018808778E-2"/>
    <n v="6.5322587870015221E-3"/>
    <n v="3.9215686274509803E-2"/>
    <n v="1981"/>
    <n v="2.4497452978056424"/>
    <n v="122.58333333333333"/>
    <n v="3125.875"/>
    <x v="226"/>
    <n v="-0.36625744791458392"/>
    <n v="7924"/>
  </r>
  <r>
    <n v="228"/>
    <x v="20"/>
    <x v="1"/>
    <x v="7"/>
    <x v="2"/>
    <x v="0"/>
    <n v="4387490"/>
    <n v="10812"/>
    <x v="227"/>
    <x v="205"/>
    <x v="7"/>
    <x v="0"/>
    <n v="1.0135135135135136E-2"/>
    <n v="2.737698853126156E-2"/>
    <n v="0.33333333333333331"/>
    <n v="3993"/>
    <n v="5.2566216216216217"/>
    <n v="518.65333333333331"/>
    <n v="1555.96"/>
    <x v="227"/>
    <n v="1.5662613434792667"/>
    <n v="3993"/>
  </r>
  <r>
    <n v="229"/>
    <x v="20"/>
    <x v="1"/>
    <x v="8"/>
    <x v="2"/>
    <x v="0"/>
    <n v="544756"/>
    <n v="119400"/>
    <x v="228"/>
    <x v="39"/>
    <x v="3"/>
    <x v="6"/>
    <n v="2.0100502512562814E-2"/>
    <n v="0.01"/>
    <n v="0.16666666666666666"/>
    <n v="981"/>
    <n v="26.942964824120605"/>
    <n v="1340.4125000000001"/>
    <n v="8042.4750000000004"/>
    <x v="228"/>
    <n v="-0.87802262363265038"/>
    <n v="3924"/>
  </r>
  <r>
    <n v="230"/>
    <x v="20"/>
    <x v="1"/>
    <x v="9"/>
    <x v="2"/>
    <x v="2"/>
    <n v="374754"/>
    <n v="300900"/>
    <x v="229"/>
    <x v="206"/>
    <x v="157"/>
    <x v="7"/>
    <n v="2.9577932868062481E-2"/>
    <n v="0.01"/>
    <n v="0.19101123595505617"/>
    <n v="4981"/>
    <n v="21.603954802259889"/>
    <n v="730.40786516853939"/>
    <n v="3823.9"/>
    <x v="229"/>
    <n v="0.30259682523078524"/>
    <n v="84677"/>
  </r>
  <r>
    <n v="231"/>
    <x v="20"/>
    <x v="1"/>
    <x v="10"/>
    <x v="2"/>
    <x v="3"/>
    <n v="39889"/>
    <n v="42080000"/>
    <x v="230"/>
    <x v="207"/>
    <x v="158"/>
    <x v="2"/>
    <n v="1.5922053231939164E-2"/>
    <n v="1E-4"/>
    <n v="0.14925373134328357"/>
    <n v="3171"/>
    <n v="5.9465779467680608"/>
    <n v="373.48059701492537"/>
    <n v="2502.3200000000002"/>
    <x v="230"/>
    <n v="0.26722401611304708"/>
    <n v="31710"/>
  </r>
  <r>
    <n v="232"/>
    <x v="21"/>
    <x v="0"/>
    <x v="0"/>
    <x v="0"/>
    <x v="0"/>
    <n v="349043"/>
    <n v="605386"/>
    <x v="231"/>
    <x v="208"/>
    <x v="66"/>
    <x v="10"/>
    <n v="1.9991670137442734E-2"/>
    <n v="7.9321292530715945E-3"/>
    <n v="0.125"/>
    <n v="5636"/>
    <n v="12.434402332361516"/>
    <n v="621.97916666666663"/>
    <n v="4975.833333333333"/>
    <x v="231"/>
    <n v="0.13267459387037348"/>
    <n v="67632"/>
  </r>
  <r>
    <n v="233"/>
    <x v="21"/>
    <x v="0"/>
    <x v="1"/>
    <x v="1"/>
    <x v="0"/>
    <n v="348934"/>
    <n v="2090371"/>
    <x v="232"/>
    <x v="209"/>
    <x v="70"/>
    <x v="23"/>
    <n v="1.9981834695731154E-2"/>
    <n v="3.1602045761254822E-3"/>
    <n v="0.10606060606060606"/>
    <n v="4981"/>
    <n v="14.462034514078111"/>
    <n v="723.7590909090909"/>
    <n v="6824.0142857142855"/>
    <x v="232"/>
    <n v="-0.27007772969827143"/>
    <n v="69734"/>
  </r>
  <r>
    <n v="234"/>
    <x v="21"/>
    <x v="0"/>
    <x v="2"/>
    <x v="2"/>
    <x v="1"/>
    <n v="89459845"/>
    <n v="90500"/>
    <x v="233"/>
    <x v="210"/>
    <x v="159"/>
    <x v="4"/>
    <n v="3.591160220994475E-2"/>
    <n v="0.02"/>
    <n v="0.1076923076923077"/>
    <n v="8435"/>
    <n v="16.931160220994474"/>
    <n v="471.46769230769235"/>
    <n v="4377.9142857142861"/>
    <x v="233"/>
    <n v="0.92671657083934289"/>
    <n v="59045"/>
  </r>
  <r>
    <n v="235"/>
    <x v="21"/>
    <x v="0"/>
    <x v="3"/>
    <x v="2"/>
    <x v="1"/>
    <n v="127823"/>
    <n v="959600"/>
    <x v="234"/>
    <x v="211"/>
    <x v="11"/>
    <x v="6"/>
    <n v="8.1283868278449346E-3"/>
    <n v="5.0000000000000001E-3"/>
    <n v="0.10256410256410256"/>
    <n v="2981"/>
    <n v="2.5736348478532722"/>
    <n v="316.62307692307689"/>
    <n v="3087.0749999999998"/>
    <x v="234"/>
    <n v="-3.4361005158604768E-2"/>
    <n v="11924"/>
  </r>
  <r>
    <n v="236"/>
    <x v="21"/>
    <x v="0"/>
    <x v="4"/>
    <x v="2"/>
    <x v="2"/>
    <n v="10934"/>
    <n v="757387"/>
    <x v="235"/>
    <x v="212"/>
    <x v="160"/>
    <x v="21"/>
    <n v="2.0006668889629875E-2"/>
    <n v="1.1878999771583087E-2"/>
    <n v="0.23333333333333334"/>
    <n v="8557"/>
    <n v="8.6477492497499178"/>
    <n v="432.24333333333334"/>
    <n v="1852.4714285714285"/>
    <x v="235"/>
    <n v="3.6192345361023497"/>
    <n v="359394"/>
  </r>
  <r>
    <n v="237"/>
    <x v="21"/>
    <x v="0"/>
    <x v="5"/>
    <x v="0"/>
    <x v="0"/>
    <n v="9034945"/>
    <n v="4565811"/>
    <x v="236"/>
    <x v="213"/>
    <x v="50"/>
    <x v="8"/>
    <n v="2.0011117287381877E-2"/>
    <n v="1.1820463002082215E-3"/>
    <n v="8.3333333333333329E-2"/>
    <n v="5981"/>
    <n v="6.2024643320363158"/>
    <n v="309.9509259259259"/>
    <n v="3719.4111111111106"/>
    <x v="236"/>
    <n v="0.60805025885220798"/>
    <n v="53829"/>
  </r>
  <r>
    <n v="238"/>
    <x v="21"/>
    <x v="0"/>
    <x v="6"/>
    <x v="1"/>
    <x v="0"/>
    <n v="983498"/>
    <n v="2190892"/>
    <x v="237"/>
    <x v="214"/>
    <x v="161"/>
    <x v="4"/>
    <n v="1.215447951382082E-2"/>
    <n v="4.656550847782547E-3"/>
    <n v="5.6451612903225805E-2"/>
    <n v="2086"/>
    <n v="1.8816506567339737"/>
    <n v="154.81129032258065"/>
    <n v="2742.3714285714282"/>
    <x v="237"/>
    <n v="-0.23934446724940869"/>
    <n v="14602"/>
  </r>
  <r>
    <n v="239"/>
    <x v="21"/>
    <x v="0"/>
    <x v="7"/>
    <x v="2"/>
    <x v="0"/>
    <n v="4387490"/>
    <n v="17821"/>
    <x v="238"/>
    <x v="215"/>
    <x v="162"/>
    <x v="1"/>
    <n v="2.0066889632107024E-2"/>
    <n v="3.3555917176364962E-2"/>
    <n v="0.25"/>
    <n v="4056"/>
    <n v="9.6864214046822728"/>
    <n v="482.70666666666665"/>
    <n v="1930.8266666666666"/>
    <x v="238"/>
    <n v="1.1006546418805072"/>
    <n v="12168"/>
  </r>
  <r>
    <n v="240"/>
    <x v="21"/>
    <x v="0"/>
    <x v="8"/>
    <x v="2"/>
    <x v="0"/>
    <n v="544756"/>
    <n v="239600"/>
    <x v="239"/>
    <x v="98"/>
    <x v="1"/>
    <x v="30"/>
    <n v="2.003338898163606E-2"/>
    <n v="0.01"/>
    <n v="0.125"/>
    <n v="981"/>
    <n v="21.612395659432387"/>
    <n v="1078.8187500000001"/>
    <n v="8630.5500000000011"/>
    <x v="239"/>
    <n v="-0.88633401115803745"/>
    <n v="5886"/>
  </r>
  <r>
    <n v="241"/>
    <x v="21"/>
    <x v="0"/>
    <x v="9"/>
    <x v="2"/>
    <x v="2"/>
    <n v="374754"/>
    <n v="599700"/>
    <x v="240"/>
    <x v="216"/>
    <x v="163"/>
    <x v="87"/>
    <n v="3.9353009838252462E-2"/>
    <n v="0.01"/>
    <n v="0.14830508474576271"/>
    <n v="4524"/>
    <n v="22.908454227113555"/>
    <n v="582.12711864406776"/>
    <n v="3925.2"/>
    <x v="240"/>
    <n v="0.15255273616630999"/>
    <n v="158340"/>
  </r>
  <r>
    <n v="242"/>
    <x v="21"/>
    <x v="0"/>
    <x v="10"/>
    <x v="2"/>
    <x v="3"/>
    <n v="39889"/>
    <n v="105873774"/>
    <x v="241"/>
    <x v="217"/>
    <x v="164"/>
    <x v="77"/>
    <n v="1.9978594363182306E-2"/>
    <n v="7.9424768592833953E-5"/>
    <n v="0.11904761904761904"/>
    <n v="4030"/>
    <n v="7.1377809489832318"/>
    <n v="357.27142857142854"/>
    <n v="3001.08"/>
    <x v="241"/>
    <n v="0.34284990736668136"/>
    <n v="80600"/>
  </r>
  <r>
    <n v="243"/>
    <x v="22"/>
    <x v="0"/>
    <x v="0"/>
    <x v="0"/>
    <x v="0"/>
    <n v="349043"/>
    <n v="924525"/>
    <x v="242"/>
    <x v="218"/>
    <x v="111"/>
    <x v="3"/>
    <n v="2.3275145469659187E-2"/>
    <n v="1.3012087288066846E-3"/>
    <n v="7.1428571428571425E-2"/>
    <n v="4981"/>
    <n v="8.1947464671654195"/>
    <n v="352.0814285714286"/>
    <n v="4929.1400000000003"/>
    <x v="242"/>
    <n v="1.0521105101498368E-2"/>
    <n v="9962"/>
  </r>
  <r>
    <n v="244"/>
    <x v="22"/>
    <x v="0"/>
    <x v="1"/>
    <x v="1"/>
    <x v="0"/>
    <n v="348934"/>
    <n v="475992"/>
    <x v="243"/>
    <x v="219"/>
    <x v="165"/>
    <x v="1"/>
    <n v="2.2547227300426569E-2"/>
    <n v="3.4475369333938385E-3"/>
    <n v="8.1081081081081086E-2"/>
    <n v="4075"/>
    <n v="11.791590493601463"/>
    <n v="522.97297297297303"/>
    <n v="6450"/>
    <x v="243"/>
    <n v="-0.36821705426356588"/>
    <n v="12225"/>
  </r>
  <r>
    <n v="245"/>
    <x v="22"/>
    <x v="0"/>
    <x v="2"/>
    <x v="2"/>
    <x v="1"/>
    <n v="89459845"/>
    <n v="22175"/>
    <x v="244"/>
    <x v="220"/>
    <x v="2"/>
    <x v="3"/>
    <n v="2.0361990950226245E-2"/>
    <n v="1.9932356257046223E-2"/>
    <n v="0.22222222222222221"/>
    <n v="7525"/>
    <n v="12.238031674208145"/>
    <n v="601.02333333333331"/>
    <n v="2704.605"/>
    <x v="244"/>
    <n v="1.7822916839982179"/>
    <n v="15050"/>
  </r>
  <r>
    <n v="246"/>
    <x v="22"/>
    <x v="0"/>
    <x v="3"/>
    <x v="2"/>
    <x v="1"/>
    <n v="127823"/>
    <n v="241000"/>
    <x v="245"/>
    <x v="221"/>
    <x v="3"/>
    <x v="1"/>
    <n v="1.9917012448132779E-2"/>
    <n v="5.0000000000000001E-3"/>
    <n v="0.125"/>
    <n v="2981"/>
    <n v="10.441161825726141"/>
    <n v="524.23333333333335"/>
    <n v="4193.8666666666668"/>
    <x v="245"/>
    <n v="-0.2892001017358683"/>
    <n v="8943"/>
  </r>
  <r>
    <n v="247"/>
    <x v="22"/>
    <x v="0"/>
    <x v="4"/>
    <x v="2"/>
    <x v="2"/>
    <n v="10934"/>
    <n v="297609"/>
    <x v="246"/>
    <x v="222"/>
    <x v="55"/>
    <x v="28"/>
    <n v="2.0035618878005344E-2"/>
    <n v="7.5468147804669886E-3"/>
    <n v="0.17777777777777778"/>
    <n v="7981"/>
    <n v="7.2764915405164734"/>
    <n v="363.17777777777781"/>
    <n v="2042.875"/>
    <x v="246"/>
    <n v="2.9067490668787861"/>
    <n v="63848"/>
  </r>
  <r>
    <n v="248"/>
    <x v="22"/>
    <x v="0"/>
    <x v="5"/>
    <x v="0"/>
    <x v="0"/>
    <n v="9034945"/>
    <n v="536236"/>
    <x v="247"/>
    <x v="223"/>
    <x v="64"/>
    <x v="5"/>
    <n v="7.4128984432913266E-4"/>
    <n v="2.5156833931328742E-3"/>
    <n v="0"/>
    <n v="0"/>
    <n v="0.41308376575240918"/>
    <n v="557.25"/>
    <n v="0"/>
    <x v="247"/>
    <n v="-1"/>
    <n v="0"/>
  </r>
  <r>
    <n v="249"/>
    <x v="22"/>
    <x v="0"/>
    <x v="6"/>
    <x v="1"/>
    <x v="0"/>
    <n v="983498"/>
    <n v="512000"/>
    <x v="248"/>
    <x v="224"/>
    <x v="47"/>
    <x v="3"/>
    <n v="1.9921874999999999E-2"/>
    <n v="5.0000000000000001E-3"/>
    <n v="3.9215686274509803E-2"/>
    <n v="1467"/>
    <n v="1.6739999999999999"/>
    <n v="84.028235294117636"/>
    <n v="2142.7199999999998"/>
    <x v="248"/>
    <n v="-0.31535618279569888"/>
    <n v="2934"/>
  </r>
  <r>
    <n v="250"/>
    <x v="22"/>
    <x v="0"/>
    <x v="7"/>
    <x v="2"/>
    <x v="0"/>
    <n v="4387490"/>
    <n v="4908"/>
    <x v="249"/>
    <x v="225"/>
    <x v="7"/>
    <x v="0"/>
    <n v="1.935483870967742E-2"/>
    <n v="3.1581092094539527E-2"/>
    <n v="0.33333333333333331"/>
    <n v="5265"/>
    <n v="7.9876774193548385"/>
    <n v="412.69666666666666"/>
    <n v="1238.0899999999999"/>
    <x v="249"/>
    <n v="3.2525179914222715"/>
    <n v="5265"/>
  </r>
  <r>
    <n v="251"/>
    <x v="22"/>
    <x v="0"/>
    <x v="8"/>
    <x v="2"/>
    <x v="0"/>
    <n v="544756"/>
    <n v="60800"/>
    <x v="250"/>
    <x v="226"/>
    <x v="162"/>
    <x v="3"/>
    <n v="1.9736842105263157E-2"/>
    <n v="0.01"/>
    <n v="0.16666666666666666"/>
    <n v="1360"/>
    <n v="26.445065789473684"/>
    <n v="1339.8833333333334"/>
    <n v="8039.3"/>
    <x v="250"/>
    <n v="-0.83083104250370055"/>
    <n v="2720"/>
  </r>
  <r>
    <n v="252"/>
    <x v="22"/>
    <x v="0"/>
    <x v="9"/>
    <x v="2"/>
    <x v="2"/>
    <n v="374754"/>
    <n v="117218"/>
    <x v="251"/>
    <x v="227"/>
    <x v="166"/>
    <x v="6"/>
    <n v="2.0666666666666667E-2"/>
    <n v="1.2796669453496903E-2"/>
    <n v="0.12903225806451613"/>
    <n v="4454"/>
    <n v="10.29"/>
    <n v="497.90322580645159"/>
    <n v="3858.75"/>
    <x v="251"/>
    <n v="0.15425979915775834"/>
    <n v="17816"/>
  </r>
  <r>
    <n v="253"/>
    <x v="22"/>
    <x v="0"/>
    <x v="10"/>
    <x v="2"/>
    <x v="3"/>
    <n v="39889"/>
    <n v="654544"/>
    <x v="252"/>
    <x v="149"/>
    <x v="167"/>
    <x v="30"/>
    <n v="2.0009528346831826E-2"/>
    <n v="3.2068126818059596E-3"/>
    <n v="0.14285714285714285"/>
    <n v="3981"/>
    <n v="7.9592186755597911"/>
    <n v="397.7714285714286"/>
    <n v="2784.4"/>
    <x v="252"/>
    <n v="0.42975147248958473"/>
    <n v="23886"/>
  </r>
  <r>
    <n v="254"/>
    <x v="23"/>
    <x v="0"/>
    <x v="0"/>
    <x v="0"/>
    <x v="0"/>
    <n v="349043"/>
    <n v="479596"/>
    <x v="253"/>
    <x v="228"/>
    <x v="60"/>
    <x v="13"/>
    <n v="3.8621262458471764E-2"/>
    <n v="5.0208925845920318E-3"/>
    <n v="0.16129032258064516"/>
    <n v="5455"/>
    <n v="39.270847176079734"/>
    <n v="1016.8193548387096"/>
    <n v="6304.28"/>
    <x v="253"/>
    <n v="-0.13471482865608758"/>
    <n v="81825"/>
  </r>
  <r>
    <n v="255"/>
    <x v="23"/>
    <x v="0"/>
    <x v="1"/>
    <x v="1"/>
    <x v="0"/>
    <n v="348934"/>
    <n v="395127"/>
    <x v="254"/>
    <x v="188"/>
    <x v="56"/>
    <x v="4"/>
    <n v="2.0018198362147407E-2"/>
    <n v="8.3441526395310883E-3"/>
    <n v="0.10606060606060606"/>
    <n v="4981"/>
    <n v="13.450773430391264"/>
    <n v="671.92727272727268"/>
    <n v="6335.3142857142857"/>
    <x v="254"/>
    <n v="-0.21377223364722006"/>
    <n v="34867"/>
  </r>
  <r>
    <n v="256"/>
    <x v="23"/>
    <x v="0"/>
    <x v="2"/>
    <x v="2"/>
    <x v="1"/>
    <n v="89459845"/>
    <n v="45150"/>
    <x v="255"/>
    <x v="229"/>
    <x v="10"/>
    <x v="1"/>
    <n v="1.9933554817275746E-2"/>
    <n v="0.02"/>
    <n v="0.16666666666666666"/>
    <n v="7981"/>
    <n v="15.842967884828351"/>
    <n v="794.78888888888889"/>
    <n v="4768.7333333333336"/>
    <x v="255"/>
    <n v="0.67361004319805395"/>
    <n v="23943"/>
  </r>
  <r>
    <n v="257"/>
    <x v="23"/>
    <x v="0"/>
    <x v="3"/>
    <x v="2"/>
    <x v="1"/>
    <n v="127823"/>
    <n v="291441"/>
    <x v="256"/>
    <x v="228"/>
    <x v="168"/>
    <x v="26"/>
    <n v="2.1594684385382059E-2"/>
    <n v="8.262392731290381E-3"/>
    <n v="9.6153846153846159E-2"/>
    <n v="3812"/>
    <n v="9.2847176079734215"/>
    <n v="429.95384615384614"/>
    <n v="4471.5199999999995"/>
    <x v="256"/>
    <n v="-0.14749346978208747"/>
    <n v="19060"/>
  </r>
  <r>
    <n v="258"/>
    <x v="23"/>
    <x v="0"/>
    <x v="4"/>
    <x v="2"/>
    <x v="2"/>
    <n v="10934"/>
    <n v="409320"/>
    <x v="257"/>
    <x v="56"/>
    <x v="159"/>
    <x v="23"/>
    <n v="1.4418811002661935E-2"/>
    <n v="1.1013388058242939E-2"/>
    <n v="0.2153846153846154"/>
    <n v="7981"/>
    <n v="5.0896850044365571"/>
    <n v="352.98923076923074"/>
    <n v="1638.8785714285714"/>
    <x v="257"/>
    <n v="3.8697933691592246"/>
    <n v="111734"/>
  </r>
  <r>
    <n v="259"/>
    <x v="23"/>
    <x v="0"/>
    <x v="5"/>
    <x v="0"/>
    <x v="0"/>
    <n v="9034945"/>
    <n v="869482"/>
    <x v="258"/>
    <x v="230"/>
    <x v="167"/>
    <x v="4"/>
    <n v="1.5538290788013319E-2"/>
    <n v="3.1087475071364329E-3"/>
    <n v="0.16666666666666666"/>
    <n v="5208"/>
    <n v="8.845135035146134"/>
    <n v="569.24761904761908"/>
    <n v="3415.4857142857145"/>
    <x v="258"/>
    <n v="0.52481972863094128"/>
    <n v="36456"/>
  </r>
  <r>
    <n v="260"/>
    <x v="23"/>
    <x v="0"/>
    <x v="6"/>
    <x v="1"/>
    <x v="0"/>
    <n v="983498"/>
    <n v="624157"/>
    <x v="259"/>
    <x v="231"/>
    <x v="112"/>
    <x v="30"/>
    <n v="2.39309533150255E-2"/>
    <n v="8.1678167512340642E-3"/>
    <n v="4.9180327868852458E-2"/>
    <n v="1765"/>
    <n v="3.6632012553942723"/>
    <n v="153.07377049180329"/>
    <n v="3112.5"/>
    <x v="259"/>
    <n v="-0.43293172690763054"/>
    <n v="10590"/>
  </r>
  <r>
    <n v="261"/>
    <x v="23"/>
    <x v="0"/>
    <x v="7"/>
    <x v="2"/>
    <x v="0"/>
    <n v="4387490"/>
    <n v="8966"/>
    <x v="260"/>
    <x v="232"/>
    <x v="53"/>
    <x v="0"/>
    <n v="2.0202020202020204E-2"/>
    <n v="3.3125139415569931E-2"/>
    <n v="0.16666666666666666"/>
    <n v="4981"/>
    <n v="9.619865319865319"/>
    <n v="476.18333333333334"/>
    <n v="2857.1"/>
    <x v="260"/>
    <n v="0.7433761506422597"/>
    <n v="4981"/>
  </r>
  <r>
    <n v="262"/>
    <x v="23"/>
    <x v="0"/>
    <x v="8"/>
    <x v="2"/>
    <x v="0"/>
    <n v="544756"/>
    <n v="148794"/>
    <x v="261"/>
    <x v="3"/>
    <x v="169"/>
    <x v="30"/>
    <n v="3.177257525083612E-2"/>
    <n v="8.0379585198327892E-3"/>
    <n v="0.15789473684210525"/>
    <n v="1363"/>
    <n v="40.799832775919732"/>
    <n v="1284.121052631579"/>
    <n v="8132.7666666666664"/>
    <x v="261"/>
    <n v="-0.83240635618055359"/>
    <n v="8178"/>
  </r>
  <r>
    <n v="263"/>
    <x v="23"/>
    <x v="0"/>
    <x v="9"/>
    <x v="2"/>
    <x v="2"/>
    <n v="374754"/>
    <n v="355802"/>
    <x v="262"/>
    <x v="233"/>
    <x v="65"/>
    <x v="8"/>
    <n v="2.0066889632107024E-2"/>
    <n v="8.4035502892057939E-3"/>
    <n v="0.15"/>
    <n v="4981"/>
    <n v="14.151003344481605"/>
    <n v="705.19166666666672"/>
    <n v="4701.2777777777774"/>
    <x v="262"/>
    <n v="5.9499190527397987E-2"/>
    <n v="44829"/>
  </r>
  <r>
    <n v="264"/>
    <x v="23"/>
    <x v="0"/>
    <x v="10"/>
    <x v="2"/>
    <x v="3"/>
    <n v="39889"/>
    <n v="2770687"/>
    <x v="263"/>
    <x v="234"/>
    <x v="20"/>
    <x v="11"/>
    <n v="1.9976218787158145E-2"/>
    <n v="1.5176741364145427E-3"/>
    <n v="0.19047619047619047"/>
    <n v="3981"/>
    <n v="8.1260166468489903"/>
    <n v="406.78452380952382"/>
    <n v="2135.6187500000001"/>
    <x v="263"/>
    <n v="0.86409676352579312"/>
    <n v="63696"/>
  </r>
  <r>
    <n v="265"/>
    <x v="24"/>
    <x v="0"/>
    <x v="0"/>
    <x v="0"/>
    <x v="0"/>
    <n v="349043"/>
    <n v="94600"/>
    <x v="264"/>
    <x v="235"/>
    <x v="170"/>
    <x v="3"/>
    <n v="3.1712473572938688E-2"/>
    <n v="5.0000000000000001E-3"/>
    <n v="0.13333333333333333"/>
    <n v="5052"/>
    <n v="23.742494714587739"/>
    <n v="748.68000000000006"/>
    <n v="5615.1"/>
    <x v="264"/>
    <n v="-0.10028316503713208"/>
    <n v="10104"/>
  </r>
  <r>
    <n v="266"/>
    <x v="24"/>
    <x v="0"/>
    <x v="1"/>
    <x v="1"/>
    <x v="0"/>
    <n v="348934"/>
    <n v="131400"/>
    <x v="265"/>
    <x v="236"/>
    <x v="0"/>
    <x v="3"/>
    <n v="1.9786910197869101E-2"/>
    <n v="5.0000000000000001E-3"/>
    <n v="0.15384615384615385"/>
    <n v="4981"/>
    <n v="15.764079147640791"/>
    <n v="796.69230769230774"/>
    <n v="5178.5"/>
    <x v="265"/>
    <n v="-3.8138457082166649E-2"/>
    <n v="9962"/>
  </r>
  <r>
    <n v="267"/>
    <x v="24"/>
    <x v="0"/>
    <x v="2"/>
    <x v="2"/>
    <x v="1"/>
    <n v="89459845"/>
    <n v="8750"/>
    <x v="266"/>
    <x v="237"/>
    <x v="64"/>
    <x v="5"/>
    <n v="5.7142857142857143E-3"/>
    <n v="0.02"/>
    <n v="0"/>
    <n v="0"/>
    <n v="6.1641714285714286"/>
    <n v="1078.73"/>
    <n v="0"/>
    <x v="266"/>
    <n v="-1"/>
    <n v="0"/>
  </r>
  <r>
    <n v="268"/>
    <x v="24"/>
    <x v="0"/>
    <x v="3"/>
    <x v="2"/>
    <x v="1"/>
    <n v="127823"/>
    <n v="61867"/>
    <x v="267"/>
    <x v="238"/>
    <x v="16"/>
    <x v="3"/>
    <n v="3.9014373716632446E-2"/>
    <n v="7.8717248290688085E-3"/>
    <n v="0.10526315789473684"/>
    <n v="2865"/>
    <n v="19.450143737166322"/>
    <n v="498.53789473684208"/>
    <n v="4736.1099999999997"/>
    <x v="267"/>
    <n v="-0.39507317186467372"/>
    <n v="5730"/>
  </r>
  <r>
    <n v="269"/>
    <x v="24"/>
    <x v="0"/>
    <x v="4"/>
    <x v="2"/>
    <x v="2"/>
    <n v="10934"/>
    <n v="94976"/>
    <x v="268"/>
    <x v="73"/>
    <x v="76"/>
    <x v="26"/>
    <n v="2.4336283185840708E-2"/>
    <n v="9.5181940700808619E-3"/>
    <n v="0.22727272727272727"/>
    <n v="7606"/>
    <n v="9.9943694690265481"/>
    <n v="410.67772727272728"/>
    <n v="1806.982"/>
    <x v="268"/>
    <n v="3.2092284261824413"/>
    <n v="38030"/>
  </r>
  <r>
    <n v="270"/>
    <x v="24"/>
    <x v="0"/>
    <x v="5"/>
    <x v="0"/>
    <x v="0"/>
    <n v="9034945"/>
    <n v="106000"/>
    <x v="269"/>
    <x v="239"/>
    <x v="53"/>
    <x v="0"/>
    <n v="1.1320754716981131E-2"/>
    <n v="5.0000000000000001E-3"/>
    <n v="0.16666666666666666"/>
    <n v="5981"/>
    <n v="4.3471886792452832"/>
    <n v="384.00166666666672"/>
    <n v="2304.0100000000002"/>
    <x v="269"/>
    <n v="1.5959088719232988"/>
    <n v="5981"/>
  </r>
  <r>
    <n v="271"/>
    <x v="24"/>
    <x v="0"/>
    <x v="6"/>
    <x v="1"/>
    <x v="0"/>
    <n v="983498"/>
    <n v="115468"/>
    <x v="270"/>
    <x v="240"/>
    <x v="54"/>
    <x v="0"/>
    <n v="1.9704433497536946E-2"/>
    <n v="8.7903141996050847E-3"/>
    <n v="0.05"/>
    <n v="1981"/>
    <n v="2.0286009852216749"/>
    <n v="102.95150000000001"/>
    <n v="2059.0300000000002"/>
    <x v="270"/>
    <n v="-3.7896485238194777E-2"/>
    <n v="1981"/>
  </r>
  <r>
    <n v="272"/>
    <x v="24"/>
    <x v="0"/>
    <x v="7"/>
    <x v="2"/>
    <x v="0"/>
    <n v="4387490"/>
    <n v="2214"/>
    <x v="271"/>
    <x v="241"/>
    <x v="7"/>
    <x v="0"/>
    <n v="4.5454545454545456E-2"/>
    <n v="2.9810298102981029E-2"/>
    <n v="0.33333333333333331"/>
    <n v="4461"/>
    <n v="22.537424242424244"/>
    <n v="495.82333333333332"/>
    <n v="1487.47"/>
    <x v="271"/>
    <n v="1.9990520817226565"/>
    <n v="4461"/>
  </r>
  <r>
    <n v="273"/>
    <x v="24"/>
    <x v="0"/>
    <x v="8"/>
    <x v="2"/>
    <x v="0"/>
    <n v="544756"/>
    <n v="25000"/>
    <x v="272"/>
    <x v="242"/>
    <x v="67"/>
    <x v="0"/>
    <n v="0.02"/>
    <n v="0.01"/>
    <n v="0.2"/>
    <n v="981"/>
    <n v="23.48516"/>
    <n v="1174.258"/>
    <n v="5871.29"/>
    <x v="272"/>
    <n v="-0.83291576467863115"/>
    <n v="981"/>
  </r>
  <r>
    <n v="274"/>
    <x v="24"/>
    <x v="0"/>
    <x v="9"/>
    <x v="2"/>
    <x v="2"/>
    <n v="374754"/>
    <n v="46753"/>
    <x v="273"/>
    <x v="243"/>
    <x v="162"/>
    <x v="3"/>
    <n v="2.030456852791878E-2"/>
    <n v="1.2640900049194704E-2"/>
    <n v="0.16666666666666666"/>
    <n v="5065"/>
    <n v="10.537275803722503"/>
    <n v="518.96083333333331"/>
    <n v="3113.7649999999999"/>
    <x v="273"/>
    <n v="0.62664812534022318"/>
    <n v="10130"/>
  </r>
  <r>
    <n v="275"/>
    <x v="24"/>
    <x v="0"/>
    <x v="10"/>
    <x v="2"/>
    <x v="3"/>
    <n v="39889"/>
    <n v="2885291"/>
    <x v="274"/>
    <x v="244"/>
    <x v="171"/>
    <x v="1"/>
    <n v="2.0047169811320754E-2"/>
    <n v="2.9390449698141365E-4"/>
    <n v="0.17647058823529413"/>
    <n v="3981"/>
    <n v="8.9429952830188686"/>
    <n v="446.0976470588235"/>
    <n v="2527.8866666666668"/>
    <x v="274"/>
    <n v="0.57483325992990197"/>
    <n v="11943"/>
  </r>
  <r>
    <n v="276"/>
    <x v="25"/>
    <x v="0"/>
    <x v="0"/>
    <x v="0"/>
    <x v="0"/>
    <n v="349043"/>
    <n v="168408"/>
    <x v="275"/>
    <x v="117"/>
    <x v="11"/>
    <x v="6"/>
    <n v="3.2311516155758079E-2"/>
    <n v="7.1671179516412525E-3"/>
    <n v="0.10256410256410256"/>
    <n v="5622"/>
    <n v="16.476967688483846"/>
    <n v="509.94102564102565"/>
    <n v="4971.9250000000002"/>
    <x v="275"/>
    <n v="0.1307491565138251"/>
    <n v="22488"/>
  </r>
  <r>
    <n v="277"/>
    <x v="25"/>
    <x v="0"/>
    <x v="1"/>
    <x v="1"/>
    <x v="0"/>
    <n v="348934"/>
    <n v="438858"/>
    <x v="276"/>
    <x v="245"/>
    <x v="88"/>
    <x v="1"/>
    <n v="1.9915509957754977E-2"/>
    <n v="3.7757087714021392E-3"/>
    <n v="9.0909090909090912E-2"/>
    <n v="5115"/>
    <n v="10.824019312009657"/>
    <n v="543.4969696969697"/>
    <n v="5978.4666666666672"/>
    <x v="276"/>
    <n v="-0.1444294523679428"/>
    <n v="15345"/>
  </r>
  <r>
    <n v="278"/>
    <x v="25"/>
    <x v="0"/>
    <x v="2"/>
    <x v="2"/>
    <x v="1"/>
    <n v="89459845"/>
    <n v="22450"/>
    <x v="277"/>
    <x v="246"/>
    <x v="172"/>
    <x v="5"/>
    <n v="4.4543429844097994E-3"/>
    <n v="0.02"/>
    <n v="0"/>
    <n v="0"/>
    <n v="3.4426280623608019"/>
    <n v="772.87"/>
    <n v="0"/>
    <x v="277"/>
    <n v="-1"/>
    <n v="0"/>
  </r>
  <r>
    <n v="279"/>
    <x v="25"/>
    <x v="0"/>
    <x v="3"/>
    <x v="2"/>
    <x v="1"/>
    <n v="127823"/>
    <n v="240600"/>
    <x v="278"/>
    <x v="218"/>
    <x v="173"/>
    <x v="0"/>
    <n v="9.14380714879468E-3"/>
    <n v="5.0000000000000001E-3"/>
    <n v="9.0909090909090912E-2"/>
    <n v="2283"/>
    <n v="3.7016625103906904"/>
    <n v="404.82727272727277"/>
    <n v="4453.1000000000004"/>
    <x v="278"/>
    <n v="-0.48732343760526381"/>
    <n v="2283"/>
  </r>
  <r>
    <n v="280"/>
    <x v="25"/>
    <x v="0"/>
    <x v="4"/>
    <x v="2"/>
    <x v="2"/>
    <n v="10934"/>
    <n v="195016"/>
    <x v="279"/>
    <x v="247"/>
    <x v="57"/>
    <x v="11"/>
    <n v="3.6493101913662659E-2"/>
    <n v="1.1522131517413955E-2"/>
    <n v="0.1951219512195122"/>
    <n v="7981"/>
    <n v="17.269336893635959"/>
    <n v="473.22195121951216"/>
    <n v="2425.2624999999998"/>
    <x v="279"/>
    <n v="2.2907778024028329"/>
    <n v="127696"/>
  </r>
  <r>
    <n v="281"/>
    <x v="25"/>
    <x v="0"/>
    <x v="5"/>
    <x v="0"/>
    <x v="0"/>
    <n v="9034945"/>
    <n v="174375"/>
    <x v="280"/>
    <x v="5"/>
    <x v="5"/>
    <x v="6"/>
    <n v="2.0119225037257823E-2"/>
    <n v="7.6960573476702512E-3"/>
    <n v="0.14814814814814814"/>
    <n v="6639"/>
    <n v="9.3833084947839041"/>
    <n v="466.38518518518515"/>
    <n v="3148.1"/>
    <x v="280"/>
    <n v="1.1088910771576508"/>
    <n v="26556"/>
  </r>
  <r>
    <n v="282"/>
    <x v="25"/>
    <x v="0"/>
    <x v="6"/>
    <x v="1"/>
    <x v="0"/>
    <n v="983498"/>
    <n v="508600"/>
    <x v="281"/>
    <x v="248"/>
    <x v="174"/>
    <x v="0"/>
    <n v="2.8706252457727094E-2"/>
    <n v="5.0000000000000001E-3"/>
    <n v="1.3698630136986301E-2"/>
    <n v="1981"/>
    <n v="0.94515926071569012"/>
    <n v="32.925205479452053"/>
    <n v="2403.54"/>
    <x v="281"/>
    <n v="-0.17579902976443079"/>
    <n v="1981"/>
  </r>
  <r>
    <n v="283"/>
    <x v="25"/>
    <x v="0"/>
    <x v="7"/>
    <x v="2"/>
    <x v="0"/>
    <n v="4387490"/>
    <n v="4906"/>
    <x v="282"/>
    <x v="249"/>
    <x v="7"/>
    <x v="0"/>
    <n v="2.097902097902098E-2"/>
    <n v="2.914798206278027E-2"/>
    <n v="0.33333333333333331"/>
    <n v="4981"/>
    <n v="7.490629370629371"/>
    <n v="357.05333333333334"/>
    <n v="1071.1600000000001"/>
    <x v="282"/>
    <n v="3.6500989581388401"/>
    <n v="4981"/>
  </r>
  <r>
    <n v="284"/>
    <x v="25"/>
    <x v="0"/>
    <x v="8"/>
    <x v="2"/>
    <x v="0"/>
    <n v="544756"/>
    <n v="55269"/>
    <x v="283"/>
    <x v="250"/>
    <x v="14"/>
    <x v="5"/>
    <n v="0"/>
    <n v="1.1036928477084804E-2"/>
    <n v="0"/>
    <n v="0"/>
    <n v="0.51790163934426237"/>
    <n v="0"/>
    <n v="0"/>
    <x v="283"/>
    <n v="-1"/>
    <n v="0"/>
  </r>
  <r>
    <n v="285"/>
    <x v="25"/>
    <x v="0"/>
    <x v="9"/>
    <x v="2"/>
    <x v="2"/>
    <n v="374754"/>
    <n v="192489"/>
    <x v="284"/>
    <x v="251"/>
    <x v="87"/>
    <x v="26"/>
    <n v="2.2712090848363394E-2"/>
    <n v="7.777067780496548E-3"/>
    <n v="0.14705882352941177"/>
    <n v="5041"/>
    <n v="10.41816967267869"/>
    <n v="458.70588235294116"/>
    <n v="3119.2"/>
    <x v="284"/>
    <n v="0.61611951782508334"/>
    <n v="25205"/>
  </r>
  <r>
    <n v="286"/>
    <x v="25"/>
    <x v="0"/>
    <x v="10"/>
    <x v="2"/>
    <x v="3"/>
    <n v="39889"/>
    <n v="20930000"/>
    <x v="285"/>
    <x v="252"/>
    <x v="76"/>
    <x v="1"/>
    <n v="1.051122790253225E-2"/>
    <n v="1E-4"/>
    <n v="0.13636363636363635"/>
    <n v="4071"/>
    <n v="3.8641806020066887"/>
    <n v="367.62409090909091"/>
    <n v="2695.91"/>
    <x v="285"/>
    <n v="0.51006524698524813"/>
    <n v="12213"/>
  </r>
  <r>
    <n v="287"/>
    <x v="26"/>
    <x v="1"/>
    <x v="0"/>
    <x v="0"/>
    <x v="0"/>
    <n v="349043"/>
    <n v="213771"/>
    <x v="286"/>
    <x v="253"/>
    <x v="2"/>
    <x v="0"/>
    <n v="3.7344398340248962E-2"/>
    <n v="1.1273746205051199E-3"/>
    <n v="0.1111111111111111"/>
    <n v="4223"/>
    <n v="20.760705394190872"/>
    <n v="555.92555555555555"/>
    <n v="5003.33"/>
    <x v="286"/>
    <n v="-0.15596212922193817"/>
    <n v="4223"/>
  </r>
  <r>
    <n v="288"/>
    <x v="26"/>
    <x v="1"/>
    <x v="1"/>
    <x v="1"/>
    <x v="0"/>
    <n v="348934"/>
    <n v="66400"/>
    <x v="287"/>
    <x v="254"/>
    <x v="0"/>
    <x v="5"/>
    <n v="3.9156626506024098E-2"/>
    <n v="5.0000000000000001E-3"/>
    <n v="0"/>
    <n v="0"/>
    <n v="9.7462951807228908"/>
    <n v="248.90538461538461"/>
    <n v="0"/>
    <x v="287"/>
    <n v="-1"/>
    <n v="0"/>
  </r>
  <r>
    <n v="289"/>
    <x v="26"/>
    <x v="1"/>
    <x v="2"/>
    <x v="2"/>
    <x v="1"/>
    <n v="89459845"/>
    <n v="4662"/>
    <x v="288"/>
    <x v="255"/>
    <x v="172"/>
    <x v="5"/>
    <n v="2.4096385542168676E-2"/>
    <n v="1.7803517803517802E-2"/>
    <n v="0"/>
    <n v="0"/>
    <n v="21.1355421686747"/>
    <n v="877.125"/>
    <n v="0"/>
    <x v="288"/>
    <n v="-1"/>
    <n v="0"/>
  </r>
  <r>
    <n v="290"/>
    <x v="26"/>
    <x v="1"/>
    <x v="3"/>
    <x v="2"/>
    <x v="1"/>
    <n v="127823"/>
    <n v="40004"/>
    <x v="289"/>
    <x v="256"/>
    <x v="67"/>
    <x v="5"/>
    <n v="2.0576131687242798E-2"/>
    <n v="6.0743925607439258E-3"/>
    <n v="0"/>
    <n v="0"/>
    <n v="6.1203292181069955"/>
    <n v="297.44799999999998"/>
    <n v="0"/>
    <x v="289"/>
    <n v="-1"/>
    <n v="0"/>
  </r>
  <r>
    <n v="291"/>
    <x v="26"/>
    <x v="1"/>
    <x v="4"/>
    <x v="2"/>
    <x v="2"/>
    <n v="10934"/>
    <n v="44000"/>
    <x v="290"/>
    <x v="257"/>
    <x v="170"/>
    <x v="1"/>
    <n v="3.4090909090909088E-2"/>
    <n v="0.01"/>
    <n v="0.2"/>
    <n v="7981"/>
    <n v="13.004159090909091"/>
    <n v="381.45533333333333"/>
    <n v="1907.2766666666666"/>
    <x v="290"/>
    <n v="3.1845004133293018"/>
    <n v="23943"/>
  </r>
  <r>
    <n v="292"/>
    <x v="26"/>
    <x v="1"/>
    <x v="5"/>
    <x v="0"/>
    <x v="0"/>
    <n v="9034945"/>
    <n v="44112"/>
    <x v="291"/>
    <x v="258"/>
    <x v="53"/>
    <x v="0"/>
    <n v="2.181818181818182E-2"/>
    <n v="6.234131302140007E-3"/>
    <n v="0.16666666666666666"/>
    <n v="5981"/>
    <n v="6.6623999999999999"/>
    <n v="305.36"/>
    <n v="1832.16"/>
    <x v="291"/>
    <n v="2.2644528862108113"/>
    <n v="5981"/>
  </r>
  <r>
    <n v="293"/>
    <x v="26"/>
    <x v="1"/>
    <x v="6"/>
    <x v="1"/>
    <x v="0"/>
    <n v="983498"/>
    <n v="78799"/>
    <x v="292"/>
    <x v="259"/>
    <x v="7"/>
    <x v="5"/>
    <n v="5.9642147117296221E-3"/>
    <n v="6.3833297376870261E-3"/>
    <n v="0"/>
    <n v="0"/>
    <n v="0.50524850894632201"/>
    <n v="84.713333333333324"/>
    <n v="0"/>
    <x v="292"/>
    <n v="-1"/>
    <n v="0"/>
  </r>
  <r>
    <n v="294"/>
    <x v="26"/>
    <x v="1"/>
    <x v="7"/>
    <x v="2"/>
    <x v="0"/>
    <n v="4387490"/>
    <n v="667"/>
    <x v="293"/>
    <x v="260"/>
    <x v="14"/>
    <x v="5"/>
    <n v="0"/>
    <n v="2.9985007496251874E-2"/>
    <n v="0"/>
    <n v="0"/>
    <n v="10.020999999999999"/>
    <n v="0"/>
    <n v="0"/>
    <x v="293"/>
    <n v="-1"/>
    <n v="0"/>
  </r>
  <r>
    <n v="295"/>
    <x v="26"/>
    <x v="1"/>
    <x v="8"/>
    <x v="2"/>
    <x v="0"/>
    <n v="544756"/>
    <n v="13693"/>
    <x v="294"/>
    <x v="261"/>
    <x v="172"/>
    <x v="5"/>
    <n v="1.7391304347826087E-2"/>
    <n v="8.3984517636748711E-3"/>
    <n v="0"/>
    <n v="0"/>
    <n v="26.943043478260869"/>
    <n v="1549.2249999999999"/>
    <n v="0"/>
    <x v="294"/>
    <n v="-1"/>
    <n v="0"/>
  </r>
  <r>
    <n v="296"/>
    <x v="26"/>
    <x v="1"/>
    <x v="9"/>
    <x v="2"/>
    <x v="2"/>
    <n v="374754"/>
    <n v="24018"/>
    <x v="295"/>
    <x v="262"/>
    <x v="53"/>
    <x v="0"/>
    <n v="2.0134228187919462E-2"/>
    <n v="1.2407361145807311E-2"/>
    <n v="0.16666666666666666"/>
    <n v="4661"/>
    <n v="11.825771812080538"/>
    <n v="587.34666666666669"/>
    <n v="3524.08"/>
    <x v="295"/>
    <n v="0.32261469660166625"/>
    <n v="4661"/>
  </r>
  <r>
    <n v="297"/>
    <x v="26"/>
    <x v="1"/>
    <x v="10"/>
    <x v="2"/>
    <x v="3"/>
    <n v="39889"/>
    <n v="182546"/>
    <x v="296"/>
    <x v="263"/>
    <x v="2"/>
    <x v="0"/>
    <n v="2.1126760563380281E-2"/>
    <n v="2.3336583655626528E-3"/>
    <n v="0.1111111111111111"/>
    <n v="3981"/>
    <n v="6.5517840375586855"/>
    <n v="310.11777777777775"/>
    <n v="2791.06"/>
    <x v="296"/>
    <n v="0.42633981354754108"/>
    <n v="3981"/>
  </r>
  <r>
    <n v="298"/>
    <x v="27"/>
    <x v="1"/>
    <x v="0"/>
    <x v="0"/>
    <x v="0"/>
    <n v="349043"/>
    <n v="97200"/>
    <x v="297"/>
    <x v="264"/>
    <x v="173"/>
    <x v="0"/>
    <n v="2.2633744855967079E-2"/>
    <n v="5.0000000000000001E-3"/>
    <n v="9.0909090909090912E-2"/>
    <n v="4981"/>
    <n v="13.252057613168724"/>
    <n v="585.5"/>
    <n v="6440.5"/>
    <x v="297"/>
    <n v="-0.22661284061796444"/>
    <n v="4981"/>
  </r>
  <r>
    <n v="299"/>
    <x v="27"/>
    <x v="1"/>
    <x v="1"/>
    <x v="1"/>
    <x v="0"/>
    <n v="348934"/>
    <n v="132200"/>
    <x v="298"/>
    <x v="265"/>
    <x v="0"/>
    <x v="0"/>
    <n v="1.9667170953101363E-2"/>
    <n v="5.0000000000000001E-3"/>
    <n v="7.6923076923076927E-2"/>
    <n v="5509"/>
    <n v="13.109757942511346"/>
    <n v="666.58076923076919"/>
    <n v="8665.5499999999993"/>
    <x v="298"/>
    <n v="-0.36426424173883937"/>
    <n v="5509"/>
  </r>
  <r>
    <n v="300"/>
    <x v="27"/>
    <x v="1"/>
    <x v="2"/>
    <x v="2"/>
    <x v="1"/>
    <n v="89459845"/>
    <n v="11554"/>
    <x v="299"/>
    <x v="266"/>
    <x v="67"/>
    <x v="0"/>
    <n v="2.6737967914438502E-2"/>
    <n v="1.6184871040332352E-2"/>
    <n v="0.2"/>
    <n v="8714"/>
    <n v="18.875561497326203"/>
    <n v="705.94600000000003"/>
    <n v="3529.73"/>
    <x v="299"/>
    <n v="1.4687440682431803"/>
    <n v="8714"/>
  </r>
  <r>
    <n v="301"/>
    <x v="27"/>
    <x v="1"/>
    <x v="3"/>
    <x v="2"/>
    <x v="1"/>
    <n v="127823"/>
    <n v="55625"/>
    <x v="300"/>
    <x v="238"/>
    <x v="64"/>
    <x v="5"/>
    <n v="2.0533880903490761E-3"/>
    <n v="8.7550561797752804E-3"/>
    <n v="0"/>
    <n v="0"/>
    <n v="0.79004106776180694"/>
    <n v="384.75"/>
    <n v="0"/>
    <x v="300"/>
    <n v="-1"/>
    <n v="0"/>
  </r>
  <r>
    <n v="302"/>
    <x v="27"/>
    <x v="1"/>
    <x v="4"/>
    <x v="2"/>
    <x v="2"/>
    <n v="10934"/>
    <n v="129025"/>
    <x v="301"/>
    <x v="267"/>
    <x v="175"/>
    <x v="26"/>
    <n v="2.3102310231023101E-2"/>
    <n v="7.0451462894787834E-3"/>
    <n v="0.23809523809523808"/>
    <n v="7490"/>
    <n v="10.883135313531353"/>
    <n v="471.08428571428573"/>
    <n v="1978.5540000000001"/>
    <x v="301"/>
    <n v="2.7855929128039971"/>
    <n v="37450"/>
  </r>
  <r>
    <n v="303"/>
    <x v="27"/>
    <x v="1"/>
    <x v="5"/>
    <x v="0"/>
    <x v="0"/>
    <n v="9034945"/>
    <n v="63566"/>
    <x v="302"/>
    <x v="268"/>
    <x v="162"/>
    <x v="0"/>
    <n v="2.197802197802198E-2"/>
    <n v="8.5894975301261684E-3"/>
    <n v="8.3333333333333329E-2"/>
    <n v="5981"/>
    <n v="9.0672893772893772"/>
    <n v="412.56166666666667"/>
    <n v="4950.74"/>
    <x v="302"/>
    <n v="0.20810222310200097"/>
    <n v="5981"/>
  </r>
  <r>
    <n v="304"/>
    <x v="27"/>
    <x v="1"/>
    <x v="6"/>
    <x v="1"/>
    <x v="0"/>
    <n v="983498"/>
    <n v="775780"/>
    <x v="303"/>
    <x v="269"/>
    <x v="35"/>
    <x v="5"/>
    <n v="3.90625E-3"/>
    <n v="1.3199618448529221E-3"/>
    <n v="0"/>
    <n v="0"/>
    <n v="0.742919921875"/>
    <n v="190.1875"/>
    <n v="0"/>
    <x v="303"/>
    <n v="-1"/>
    <n v="0"/>
  </r>
  <r>
    <n v="305"/>
    <x v="27"/>
    <x v="1"/>
    <x v="7"/>
    <x v="2"/>
    <x v="0"/>
    <n v="4387490"/>
    <n v="1933"/>
    <x v="304"/>
    <x v="270"/>
    <x v="14"/>
    <x v="5"/>
    <n v="0"/>
    <n v="3.0005173305742368E-2"/>
    <n v="0"/>
    <n v="0"/>
    <n v="3.8760344827586208"/>
    <n v="0"/>
    <n v="0"/>
    <x v="304"/>
    <n v="-1"/>
    <n v="0"/>
  </r>
  <r>
    <n v="306"/>
    <x v="27"/>
    <x v="1"/>
    <x v="8"/>
    <x v="2"/>
    <x v="0"/>
    <n v="544756"/>
    <n v="25840"/>
    <x v="305"/>
    <x v="271"/>
    <x v="67"/>
    <x v="0"/>
    <n v="2.0161290322580645E-2"/>
    <n v="9.5975232198142416E-3"/>
    <n v="0.2"/>
    <n v="1491"/>
    <n v="27.6"/>
    <n v="1368.96"/>
    <n v="6844.8"/>
    <x v="305"/>
    <n v="-0.7821704067321178"/>
    <n v="1491"/>
  </r>
  <r>
    <n v="307"/>
    <x v="27"/>
    <x v="1"/>
    <x v="9"/>
    <x v="2"/>
    <x v="2"/>
    <n v="374754"/>
    <n v="94058"/>
    <x v="306"/>
    <x v="272"/>
    <x v="162"/>
    <x v="0"/>
    <n v="2.0202020202020204E-2"/>
    <n v="6.3152522911395096E-3"/>
    <n v="8.3333333333333329E-2"/>
    <n v="5008"/>
    <n v="8.1576599326599322"/>
    <n v="403.80416666666662"/>
    <n v="4845.6499999999996"/>
    <x v="306"/>
    <n v="3.3504277031977212E-2"/>
    <n v="5008"/>
  </r>
  <r>
    <n v="308"/>
    <x v="27"/>
    <x v="1"/>
    <x v="10"/>
    <x v="2"/>
    <x v="3"/>
    <n v="39889"/>
    <n v="8490000"/>
    <x v="307"/>
    <x v="273"/>
    <x v="10"/>
    <x v="3"/>
    <n v="2.1201413427561839E-2"/>
    <n v="1E-4"/>
    <n v="0.1111111111111111"/>
    <n v="3515"/>
    <n v="8.0360659599528859"/>
    <n v="379.03444444444443"/>
    <n v="3411.31"/>
    <x v="307"/>
    <n v="3.039594759784366E-2"/>
    <n v="70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70411F-0104-4705-B93A-681D6471ECB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23">
    <pivotField numFmtId="49" showAll="0"/>
    <pivotField numFmtId="14" showAll="0"/>
    <pivotField showAll="0">
      <items count="3">
        <item x="0"/>
        <item x="1"/>
        <item t="default"/>
      </items>
    </pivotField>
    <pivotField showAll="0">
      <items count="12">
        <item x="10"/>
        <item x="8"/>
        <item x="7"/>
        <item x="0"/>
        <item x="1"/>
        <item x="2"/>
        <item x="3"/>
        <item x="9"/>
        <item x="5"/>
        <item x="6"/>
        <item x="4"/>
        <item t="default"/>
      </items>
    </pivotField>
    <pivotField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Items count="1">
    <i/>
  </rowItems>
  <colFields count="1">
    <field x="-2"/>
  </colFields>
  <colItems count="2">
    <i>
      <x/>
    </i>
    <i i="1">
      <x v="1"/>
    </i>
  </colItems>
  <dataFields count="2">
    <dataField name="Total  mark_spent" fld="8" baseField="0" baseItem="0" numFmtId="43"/>
    <dataField name="Total Revenue" fld="21" baseField="0" baseItem="0" numFmtId="43"/>
  </dataFields>
  <formats count="2">
    <format dxfId="30">
      <pivotArea outline="0" collapsedLevelsAreSubtotals="1" fieldPosition="0">
        <references count="1">
          <reference field="4294967294" count="1" selected="0">
            <x v="1"/>
          </reference>
        </references>
      </pivotArea>
    </format>
    <format dxfId="29">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506AB7-D18F-4C71-96CC-9C5321F5B30C}" name="PivotTable2"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B15" firstHeaderRow="1" firstDataRow="1" firstDataCol="1"/>
  <pivotFields count="23">
    <pivotField numFmtId="49" showAll="0"/>
    <pivotField numFmtId="14" showAll="0"/>
    <pivotField showAll="0">
      <items count="3">
        <item x="0"/>
        <item x="1"/>
        <item t="default"/>
      </items>
    </pivotField>
    <pivotField axis="axisRow" showAll="0">
      <items count="12">
        <item x="10"/>
        <item x="8"/>
        <item x="7"/>
        <item x="0"/>
        <item x="1"/>
        <item x="2"/>
        <item x="3"/>
        <item x="9"/>
        <item x="5"/>
        <item x="6"/>
        <item x="4"/>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2">
    <i>
      <x/>
    </i>
    <i>
      <x v="1"/>
    </i>
    <i>
      <x v="2"/>
    </i>
    <i>
      <x v="3"/>
    </i>
    <i>
      <x v="4"/>
    </i>
    <i>
      <x v="5"/>
    </i>
    <i>
      <x v="6"/>
    </i>
    <i>
      <x v="7"/>
    </i>
    <i>
      <x v="8"/>
    </i>
    <i>
      <x v="9"/>
    </i>
    <i>
      <x v="10"/>
    </i>
    <i t="grand">
      <x/>
    </i>
  </rowItems>
  <colItems count="1">
    <i/>
  </colItems>
  <dataFields count="1">
    <dataField name="Total orders" fld="11" baseField="0" baseItem="0"/>
  </dataFields>
  <chartFormats count="24">
    <chartFormat chart="3" format="4" series="1">
      <pivotArea type="data" outline="0" fieldPosition="0">
        <references count="1">
          <reference field="4294967294" count="1" selected="0">
            <x v="0"/>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3"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3"/>
          </reference>
        </references>
      </pivotArea>
    </chartFormat>
    <chartFormat chart="6" format="22">
      <pivotArea type="data" outline="0" fieldPosition="0">
        <references count="2">
          <reference field="4294967294" count="1" selected="0">
            <x v="0"/>
          </reference>
          <reference field="3" count="1" selected="0">
            <x v="4"/>
          </reference>
        </references>
      </pivotArea>
    </chartFormat>
    <chartFormat chart="6" format="23">
      <pivotArea type="data" outline="0" fieldPosition="0">
        <references count="2">
          <reference field="4294967294" count="1" selected="0">
            <x v="0"/>
          </reference>
          <reference field="3" count="1" selected="0">
            <x v="5"/>
          </reference>
        </references>
      </pivotArea>
    </chartFormat>
    <chartFormat chart="6" format="24">
      <pivotArea type="data" outline="0" fieldPosition="0">
        <references count="2">
          <reference field="4294967294" count="1" selected="0">
            <x v="0"/>
          </reference>
          <reference field="3" count="1" selected="0">
            <x v="6"/>
          </reference>
        </references>
      </pivotArea>
    </chartFormat>
    <chartFormat chart="6" format="25">
      <pivotArea type="data" outline="0" fieldPosition="0">
        <references count="2">
          <reference field="4294967294" count="1" selected="0">
            <x v="0"/>
          </reference>
          <reference field="3" count="1" selected="0">
            <x v="7"/>
          </reference>
        </references>
      </pivotArea>
    </chartFormat>
    <chartFormat chart="6" format="26">
      <pivotArea type="data" outline="0" fieldPosition="0">
        <references count="2">
          <reference field="4294967294" count="1" selected="0">
            <x v="0"/>
          </reference>
          <reference field="3" count="1" selected="0">
            <x v="8"/>
          </reference>
        </references>
      </pivotArea>
    </chartFormat>
    <chartFormat chart="6" format="27">
      <pivotArea type="data" outline="0" fieldPosition="0">
        <references count="2">
          <reference field="4294967294" count="1" selected="0">
            <x v="0"/>
          </reference>
          <reference field="3" count="1" selected="0">
            <x v="9"/>
          </reference>
        </references>
      </pivotArea>
    </chartFormat>
    <chartFormat chart="6" format="28">
      <pivotArea type="data" outline="0" fieldPosition="0">
        <references count="2">
          <reference field="4294967294" count="1" selected="0">
            <x v="0"/>
          </reference>
          <reference field="3" count="1" selected="0">
            <x v="1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2"/>
          </reference>
        </references>
      </pivotArea>
    </chartFormat>
    <chartFormat chart="3" format="8">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 chart="3" format="10">
      <pivotArea type="data" outline="0" fieldPosition="0">
        <references count="2">
          <reference field="4294967294" count="1" selected="0">
            <x v="0"/>
          </reference>
          <reference field="3" count="1" selected="0">
            <x v="5"/>
          </reference>
        </references>
      </pivotArea>
    </chartFormat>
    <chartFormat chart="3" format="11">
      <pivotArea type="data" outline="0" fieldPosition="0">
        <references count="2">
          <reference field="4294967294" count="1" selected="0">
            <x v="0"/>
          </reference>
          <reference field="3" count="1" selected="0">
            <x v="6"/>
          </reference>
        </references>
      </pivotArea>
    </chartFormat>
    <chartFormat chart="3" format="12">
      <pivotArea type="data" outline="0" fieldPosition="0">
        <references count="2">
          <reference field="4294967294" count="1" selected="0">
            <x v="0"/>
          </reference>
          <reference field="3" count="1" selected="0">
            <x v="7"/>
          </reference>
        </references>
      </pivotArea>
    </chartFormat>
    <chartFormat chart="3" format="13">
      <pivotArea type="data" outline="0" fieldPosition="0">
        <references count="2">
          <reference field="4294967294" count="1" selected="0">
            <x v="0"/>
          </reference>
          <reference field="3" count="1" selected="0">
            <x v="8"/>
          </reference>
        </references>
      </pivotArea>
    </chartFormat>
    <chartFormat chart="3" format="14">
      <pivotArea type="data" outline="0" fieldPosition="0">
        <references count="2">
          <reference field="4294967294" count="1" selected="0">
            <x v="0"/>
          </reference>
          <reference field="3" count="1" selected="0">
            <x v="9"/>
          </reference>
        </references>
      </pivotArea>
    </chartFormat>
    <chartFormat chart="3" format="15">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CF3B3C-AB3C-478D-9EC1-F65D9D7617A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35" firstHeaderRow="1" firstDataRow="1" firstDataCol="1" rowPageCount="4" colPageCount="1"/>
  <pivotFields count="23">
    <pivotField numFmtId="49" showAll="0"/>
    <pivotField axis="axisRow"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items count="3">
        <item x="0"/>
        <item x="1"/>
        <item t="default"/>
      </items>
    </pivotField>
    <pivotField showAll="0">
      <items count="12">
        <item x="10"/>
        <item x="8"/>
        <item x="7"/>
        <item x="0"/>
        <item x="1"/>
        <item x="2"/>
        <item x="3"/>
        <item x="9"/>
        <item x="5"/>
        <item x="6"/>
        <item x="4"/>
        <item t="default"/>
      </items>
    </pivotField>
    <pivotField showAll="0">
      <items count="4">
        <item x="2"/>
        <item x="0"/>
        <item x="1"/>
        <item t="default"/>
      </items>
    </pivotField>
    <pivotField showAll="0"/>
    <pivotField showAll="0"/>
    <pivotField showAll="0"/>
    <pivotField axis="axisPage" showAll="0">
      <items count="309">
        <item x="18"/>
        <item x="293"/>
        <item x="304"/>
        <item x="292"/>
        <item x="283"/>
        <item x="82"/>
        <item x="115"/>
        <item x="300"/>
        <item x="247"/>
        <item x="303"/>
        <item x="40"/>
        <item x="10"/>
        <item x="282"/>
        <item x="266"/>
        <item x="249"/>
        <item x="7"/>
        <item x="62"/>
        <item x="17"/>
        <item x="289"/>
        <item x="271"/>
        <item x="277"/>
        <item x="227"/>
        <item x="288"/>
        <item x="291"/>
        <item x="83"/>
        <item x="270"/>
        <item x="95"/>
        <item x="12"/>
        <item x="269"/>
        <item x="281"/>
        <item x="296"/>
        <item x="260"/>
        <item x="90"/>
        <item x="294"/>
        <item x="205"/>
        <item x="287"/>
        <item x="73"/>
        <item x="295"/>
        <item x="299"/>
        <item x="6"/>
        <item x="60"/>
        <item x="116"/>
        <item x="248"/>
        <item x="84"/>
        <item x="278"/>
        <item x="150"/>
        <item x="306"/>
        <item x="302"/>
        <item x="286"/>
        <item x="29"/>
        <item x="2"/>
        <item x="244"/>
        <item x="290"/>
        <item x="238"/>
        <item x="272"/>
        <item x="3"/>
        <item x="118"/>
        <item x="273"/>
        <item x="68"/>
        <item x="297"/>
        <item x="162"/>
        <item x="72"/>
        <item x="57"/>
        <item x="51"/>
        <item x="307"/>
        <item x="305"/>
        <item x="79"/>
        <item x="0"/>
        <item x="94"/>
        <item x="274"/>
        <item x="285"/>
        <item x="64"/>
        <item x="139"/>
        <item x="298"/>
        <item x="19"/>
        <item x="268"/>
        <item x="222"/>
        <item x="267"/>
        <item x="5"/>
        <item x="200"/>
        <item x="242"/>
        <item x="301"/>
        <item x="204"/>
        <item x="74"/>
        <item x="93"/>
        <item x="265"/>
        <item x="264"/>
        <item x="128"/>
        <item x="13"/>
        <item x="61"/>
        <item x="234"/>
        <item x="226"/>
        <item x="245"/>
        <item x="280"/>
        <item x="106"/>
        <item x="50"/>
        <item x="20"/>
        <item x="105"/>
        <item x="255"/>
        <item x="161"/>
        <item x="14"/>
        <item x="251"/>
        <item x="284"/>
        <item x="250"/>
        <item x="1"/>
        <item x="246"/>
        <item x="80"/>
        <item x="138"/>
        <item x="252"/>
        <item x="8"/>
        <item x="194"/>
        <item x="223"/>
        <item x="117"/>
        <item x="276"/>
        <item x="69"/>
        <item x="11"/>
        <item x="259"/>
        <item x="237"/>
        <item x="243"/>
        <item x="103"/>
        <item x="275"/>
        <item x="91"/>
        <item x="256"/>
        <item x="58"/>
        <item x="257"/>
        <item x="9"/>
        <item x="258"/>
        <item x="230"/>
        <item x="112"/>
        <item x="126"/>
        <item x="77"/>
        <item x="66"/>
        <item x="92"/>
        <item x="16"/>
        <item x="96"/>
        <item x="63"/>
        <item x="32"/>
        <item x="225"/>
        <item x="4"/>
        <item x="233"/>
        <item x="224"/>
        <item x="187"/>
        <item x="86"/>
        <item x="183"/>
        <item x="70"/>
        <item x="172"/>
        <item x="87"/>
        <item x="228"/>
        <item x="141"/>
        <item x="236"/>
        <item x="78"/>
        <item x="81"/>
        <item x="263"/>
        <item x="53"/>
        <item x="160"/>
        <item x="71"/>
        <item x="65"/>
        <item x="67"/>
        <item x="220"/>
        <item x="279"/>
        <item x="104"/>
        <item x="221"/>
        <item x="85"/>
        <item x="39"/>
        <item x="55"/>
        <item x="35"/>
        <item x="15"/>
        <item x="262"/>
        <item x="99"/>
        <item x="100"/>
        <item x="254"/>
        <item x="129"/>
        <item x="98"/>
        <item x="21"/>
        <item x="75"/>
        <item x="261"/>
        <item x="88"/>
        <item x="127"/>
        <item x="25"/>
        <item x="113"/>
        <item x="239"/>
        <item x="101"/>
        <item x="198"/>
        <item x="145"/>
        <item x="209"/>
        <item x="47"/>
        <item x="97"/>
        <item x="193"/>
        <item x="231"/>
        <item x="123"/>
        <item x="241"/>
        <item x="36"/>
        <item x="143"/>
        <item x="134"/>
        <item x="89"/>
        <item x="56"/>
        <item x="27"/>
        <item x="229"/>
        <item x="22"/>
        <item x="102"/>
        <item x="216"/>
        <item x="30"/>
        <item x="24"/>
        <item x="235"/>
        <item x="23"/>
        <item x="76"/>
        <item x="59"/>
        <item x="201"/>
        <item x="163"/>
        <item x="156"/>
        <item x="191"/>
        <item x="124"/>
        <item x="137"/>
        <item x="44"/>
        <item x="28"/>
        <item x="253"/>
        <item x="232"/>
        <item x="46"/>
        <item x="167"/>
        <item x="171"/>
        <item x="38"/>
        <item x="110"/>
        <item x="121"/>
        <item x="34"/>
        <item x="178"/>
        <item x="189"/>
        <item x="41"/>
        <item x="125"/>
        <item x="157"/>
        <item x="108"/>
        <item x="119"/>
        <item x="107"/>
        <item x="159"/>
        <item x="240"/>
        <item x="170"/>
        <item x="131"/>
        <item x="42"/>
        <item x="215"/>
        <item x="158"/>
        <item x="182"/>
        <item x="154"/>
        <item x="151"/>
        <item x="140"/>
        <item x="195"/>
        <item x="217"/>
        <item x="33"/>
        <item x="43"/>
        <item x="109"/>
        <item x="179"/>
        <item x="37"/>
        <item x="111"/>
        <item x="26"/>
        <item x="211"/>
        <item x="122"/>
        <item x="52"/>
        <item x="120"/>
        <item x="31"/>
        <item x="146"/>
        <item x="114"/>
        <item x="144"/>
        <item x="190"/>
        <item x="136"/>
        <item x="152"/>
        <item x="175"/>
        <item x="135"/>
        <item x="149"/>
        <item x="169"/>
        <item x="153"/>
        <item x="147"/>
        <item x="192"/>
        <item x="181"/>
        <item x="49"/>
        <item x="45"/>
        <item x="168"/>
        <item x="184"/>
        <item x="203"/>
        <item x="213"/>
        <item x="130"/>
        <item x="132"/>
        <item x="148"/>
        <item x="133"/>
        <item x="197"/>
        <item x="173"/>
        <item x="180"/>
        <item x="188"/>
        <item x="142"/>
        <item x="165"/>
        <item x="177"/>
        <item x="207"/>
        <item x="214"/>
        <item x="199"/>
        <item x="54"/>
        <item x="212"/>
        <item x="206"/>
        <item x="48"/>
        <item x="210"/>
        <item x="185"/>
        <item x="176"/>
        <item x="208"/>
        <item x="218"/>
        <item x="196"/>
        <item x="186"/>
        <item x="164"/>
        <item x="155"/>
        <item x="166"/>
        <item x="174"/>
        <item x="219"/>
        <item x="202"/>
        <item t="default"/>
      </items>
    </pivotField>
    <pivotField axis="axisPage" showAll="0">
      <items count="275">
        <item x="260"/>
        <item x="270"/>
        <item x="241"/>
        <item x="255"/>
        <item x="261"/>
        <item x="249"/>
        <item x="7"/>
        <item x="225"/>
        <item x="237"/>
        <item x="266"/>
        <item x="253"/>
        <item x="256"/>
        <item x="271"/>
        <item x="242"/>
        <item x="258"/>
        <item x="86"/>
        <item x="70"/>
        <item x="205"/>
        <item x="232"/>
        <item x="262"/>
        <item x="18"/>
        <item x="77"/>
        <item x="59"/>
        <item x="254"/>
        <item x="263"/>
        <item x="257"/>
        <item x="220"/>
        <item x="246"/>
        <item x="2"/>
        <item x="235"/>
        <item x="264"/>
        <item x="238"/>
        <item x="259"/>
        <item x="239"/>
        <item x="268"/>
        <item x="243"/>
        <item x="272"/>
        <item x="8"/>
        <item x="215"/>
        <item x="97"/>
        <item x="226"/>
        <item x="250"/>
        <item x="236"/>
        <item x="265"/>
        <item x="244"/>
        <item x="273"/>
        <item x="65"/>
        <item x="28"/>
        <item x="83"/>
        <item x="54"/>
        <item x="229"/>
        <item x="73"/>
        <item x="13"/>
        <item x="267"/>
        <item x="240"/>
        <item x="269"/>
        <item x="39"/>
        <item x="3"/>
        <item x="60"/>
        <item x="87"/>
        <item x="78"/>
        <item x="218"/>
        <item x="221"/>
        <item x="117"/>
        <item x="0"/>
        <item x="5"/>
        <item x="223"/>
        <item x="251"/>
        <item x="9"/>
        <item x="227"/>
        <item x="49"/>
        <item x="127"/>
        <item x="1"/>
        <item x="219"/>
        <item x="245"/>
        <item x="138"/>
        <item x="92"/>
        <item x="210"/>
        <item x="10"/>
        <item x="252"/>
        <item x="149"/>
        <item x="222"/>
        <item x="247"/>
        <item x="4"/>
        <item x="63"/>
        <item x="11"/>
        <item x="55"/>
        <item x="81"/>
        <item x="14"/>
        <item x="98"/>
        <item x="66"/>
        <item x="159"/>
        <item x="228"/>
        <item x="248"/>
        <item x="6"/>
        <item x="224"/>
        <item x="75"/>
        <item x="103"/>
        <item x="57"/>
        <item x="68"/>
        <item x="23"/>
        <item x="16"/>
        <item x="230"/>
        <item x="204"/>
        <item x="233"/>
        <item x="79"/>
        <item x="19"/>
        <item x="88"/>
        <item x="61"/>
        <item x="206"/>
        <item x="72"/>
        <item x="12"/>
        <item x="64"/>
        <item x="188"/>
        <item x="203"/>
        <item x="53"/>
        <item x="82"/>
        <item x="199"/>
        <item x="29"/>
        <item x="34"/>
        <item x="112"/>
        <item x="89"/>
        <item x="80"/>
        <item x="20"/>
        <item x="71"/>
        <item x="234"/>
        <item x="62"/>
        <item x="207"/>
        <item x="74"/>
        <item x="15"/>
        <item x="84"/>
        <item x="45"/>
        <item x="67"/>
        <item x="123"/>
        <item x="56"/>
        <item x="93"/>
        <item x="211"/>
        <item x="118"/>
        <item x="208"/>
        <item x="40"/>
        <item x="90"/>
        <item x="58"/>
        <item x="231"/>
        <item x="76"/>
        <item x="69"/>
        <item x="17"/>
        <item x="85"/>
        <item x="213"/>
        <item x="95"/>
        <item x="133"/>
        <item x="216"/>
        <item x="50"/>
        <item x="99"/>
        <item x="128"/>
        <item x="144"/>
        <item x="91"/>
        <item x="209"/>
        <item x="21"/>
        <item x="104"/>
        <item x="139"/>
        <item x="101"/>
        <item x="24"/>
        <item x="26"/>
        <item x="165"/>
        <item x="106"/>
        <item x="100"/>
        <item x="150"/>
        <item x="217"/>
        <item x="30"/>
        <item x="212"/>
        <item x="94"/>
        <item x="108"/>
        <item x="35"/>
        <item x="160"/>
        <item x="32"/>
        <item x="113"/>
        <item x="110"/>
        <item x="102"/>
        <item x="22"/>
        <item x="183"/>
        <item x="96"/>
        <item x="214"/>
        <item x="37"/>
        <item x="115"/>
        <item x="194"/>
        <item x="169"/>
        <item x="121"/>
        <item x="178"/>
        <item x="41"/>
        <item x="43"/>
        <item x="119"/>
        <item x="124"/>
        <item x="31"/>
        <item x="109"/>
        <item x="111"/>
        <item x="189"/>
        <item x="33"/>
        <item x="126"/>
        <item x="47"/>
        <item x="25"/>
        <item x="105"/>
        <item x="134"/>
        <item x="200"/>
        <item x="131"/>
        <item x="129"/>
        <item x="51"/>
        <item x="107"/>
        <item x="27"/>
        <item x="136"/>
        <item x="44"/>
        <item x="122"/>
        <item x="145"/>
        <item x="42"/>
        <item x="120"/>
        <item x="142"/>
        <item x="36"/>
        <item x="114"/>
        <item x="140"/>
        <item x="147"/>
        <item x="153"/>
        <item x="155"/>
        <item x="132"/>
        <item x="116"/>
        <item x="38"/>
        <item x="130"/>
        <item x="52"/>
        <item x="151"/>
        <item x="157"/>
        <item x="163"/>
        <item x="46"/>
        <item x="125"/>
        <item x="143"/>
        <item x="172"/>
        <item x="161"/>
        <item x="174"/>
        <item x="167"/>
        <item x="141"/>
        <item x="48"/>
        <item x="154"/>
        <item x="184"/>
        <item x="181"/>
        <item x="170"/>
        <item x="135"/>
        <item x="176"/>
        <item x="192"/>
        <item x="195"/>
        <item x="152"/>
        <item x="186"/>
        <item x="164"/>
        <item x="179"/>
        <item x="137"/>
        <item x="146"/>
        <item x="197"/>
        <item x="190"/>
        <item x="173"/>
        <item x="162"/>
        <item x="148"/>
        <item x="201"/>
        <item x="156"/>
        <item x="182"/>
        <item x="171"/>
        <item x="193"/>
        <item x="166"/>
        <item x="158"/>
        <item x="180"/>
        <item x="175"/>
        <item x="168"/>
        <item x="191"/>
        <item x="185"/>
        <item x="202"/>
        <item x="177"/>
        <item x="196"/>
        <item x="187"/>
        <item x="198"/>
        <item t="default"/>
      </items>
    </pivotField>
    <pivotField axis="axisPage" showAll="0">
      <items count="177">
        <item x="14"/>
        <item x="64"/>
        <item x="172"/>
        <item x="7"/>
        <item x="35"/>
        <item x="67"/>
        <item x="53"/>
        <item x="15"/>
        <item x="2"/>
        <item x="9"/>
        <item x="173"/>
        <item x="162"/>
        <item x="0"/>
        <item x="8"/>
        <item x="170"/>
        <item x="171"/>
        <item x="10"/>
        <item x="16"/>
        <item x="54"/>
        <item x="175"/>
        <item x="76"/>
        <item x="3"/>
        <item x="5"/>
        <item x="111"/>
        <item x="45"/>
        <item x="166"/>
        <item x="88"/>
        <item x="87"/>
        <item x="62"/>
        <item x="165"/>
        <item x="169"/>
        <item x="11"/>
        <item x="167"/>
        <item x="55"/>
        <item x="1"/>
        <item x="4"/>
        <item x="96"/>
        <item x="47"/>
        <item x="168"/>
        <item x="13"/>
        <item x="30"/>
        <item x="71"/>
        <item x="65"/>
        <item x="133"/>
        <item x="159"/>
        <item x="56"/>
        <item x="158"/>
        <item x="27"/>
        <item x="36"/>
        <item x="25"/>
        <item x="174"/>
        <item x="49"/>
        <item x="63"/>
        <item x="73"/>
        <item x="57"/>
        <item x="20"/>
        <item x="12"/>
        <item x="77"/>
        <item x="157"/>
        <item x="68"/>
        <item x="17"/>
        <item x="60"/>
        <item x="6"/>
        <item x="66"/>
        <item x="69"/>
        <item x="58"/>
        <item x="52"/>
        <item x="50"/>
        <item x="98"/>
        <item x="154"/>
        <item x="82"/>
        <item x="18"/>
        <item x="153"/>
        <item x="46"/>
        <item x="112"/>
        <item x="161"/>
        <item x="108"/>
        <item x="95"/>
        <item x="70"/>
        <item x="51"/>
        <item x="41"/>
        <item x="61"/>
        <item x="29"/>
        <item x="21"/>
        <item x="40"/>
        <item x="72"/>
        <item x="125"/>
        <item x="23"/>
        <item x="164"/>
        <item x="160"/>
        <item x="144"/>
        <item x="74"/>
        <item x="78"/>
        <item x="28"/>
        <item x="59"/>
        <item x="130"/>
        <item x="93"/>
        <item x="19"/>
        <item x="83"/>
        <item x="31"/>
        <item x="163"/>
        <item x="33"/>
        <item x="106"/>
        <item x="145"/>
        <item x="37"/>
        <item x="141"/>
        <item x="120"/>
        <item x="79"/>
        <item x="80"/>
        <item x="85"/>
        <item x="39"/>
        <item x="38"/>
        <item x="26"/>
        <item x="104"/>
        <item x="148"/>
        <item x="86"/>
        <item x="114"/>
        <item x="75"/>
        <item x="99"/>
        <item x="90"/>
        <item x="34"/>
        <item x="89"/>
        <item x="122"/>
        <item x="118"/>
        <item x="126"/>
        <item x="32"/>
        <item x="22"/>
        <item x="81"/>
        <item x="135"/>
        <item x="84"/>
        <item x="100"/>
        <item x="105"/>
        <item x="94"/>
        <item x="43"/>
        <item x="101"/>
        <item x="24"/>
        <item x="124"/>
        <item x="136"/>
        <item x="102"/>
        <item x="128"/>
        <item x="109"/>
        <item x="123"/>
        <item x="91"/>
        <item x="116"/>
        <item x="107"/>
        <item x="117"/>
        <item x="140"/>
        <item x="42"/>
        <item x="149"/>
        <item x="97"/>
        <item x="127"/>
        <item x="132"/>
        <item x="44"/>
        <item x="92"/>
        <item x="131"/>
        <item x="48"/>
        <item x="119"/>
        <item x="155"/>
        <item x="121"/>
        <item x="139"/>
        <item x="147"/>
        <item x="110"/>
        <item x="115"/>
        <item x="146"/>
        <item x="103"/>
        <item x="129"/>
        <item x="151"/>
        <item x="137"/>
        <item x="138"/>
        <item x="113"/>
        <item x="143"/>
        <item x="150"/>
        <item x="152"/>
        <item x="134"/>
        <item x="142"/>
        <item x="156"/>
        <item t="default"/>
      </items>
    </pivotField>
    <pivotField axis="axisPage" showAll="0">
      <items count="89">
        <item x="5"/>
        <item x="0"/>
        <item x="3"/>
        <item x="1"/>
        <item x="6"/>
        <item x="26"/>
        <item x="30"/>
        <item x="4"/>
        <item x="28"/>
        <item x="8"/>
        <item x="2"/>
        <item x="31"/>
        <item x="10"/>
        <item x="9"/>
        <item x="23"/>
        <item x="13"/>
        <item x="11"/>
        <item x="7"/>
        <item x="32"/>
        <item x="33"/>
        <item x="77"/>
        <item x="27"/>
        <item x="61"/>
        <item x="22"/>
        <item x="57"/>
        <item x="46"/>
        <item x="18"/>
        <item x="35"/>
        <item x="37"/>
        <item x="48"/>
        <item x="16"/>
        <item x="39"/>
        <item x="34"/>
        <item x="87"/>
        <item x="14"/>
        <item x="19"/>
        <item x="64"/>
        <item x="21"/>
        <item x="73"/>
        <item x="68"/>
        <item x="56"/>
        <item x="71"/>
        <item x="83"/>
        <item x="49"/>
        <item x="42"/>
        <item x="15"/>
        <item x="43"/>
        <item x="53"/>
        <item x="52"/>
        <item x="44"/>
        <item x="38"/>
        <item x="76"/>
        <item x="20"/>
        <item x="40"/>
        <item x="66"/>
        <item x="59"/>
        <item x="62"/>
        <item x="82"/>
        <item x="51"/>
        <item x="70"/>
        <item x="25"/>
        <item x="41"/>
        <item x="60"/>
        <item x="54"/>
        <item x="50"/>
        <item x="67"/>
        <item x="17"/>
        <item x="12"/>
        <item x="36"/>
        <item x="79"/>
        <item x="55"/>
        <item x="80"/>
        <item x="75"/>
        <item x="47"/>
        <item x="29"/>
        <item x="63"/>
        <item x="74"/>
        <item x="85"/>
        <item x="81"/>
        <item x="72"/>
        <item x="24"/>
        <item x="69"/>
        <item x="45"/>
        <item x="65"/>
        <item x="58"/>
        <item x="84"/>
        <item x="86"/>
        <item x="78"/>
        <item t="default"/>
      </items>
    </pivotField>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pageFields count="4">
    <pageField fld="10" hier="-1"/>
    <pageField fld="9" hier="-1"/>
    <pageField fld="11" hier="-1"/>
    <pageField fld="8" hier="-1"/>
  </pageFields>
  <dataFields count="1">
    <dataField name="Sum of revenue" fld="21" baseField="0" baseItem="0"/>
  </dataFields>
  <chartFormats count="2">
    <chartFormat chart="2"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D7703-0ABA-4C87-B409-FFE38D38A6B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6" firstHeaderRow="0" firstDataRow="1" firstDataCol="1"/>
  <pivotFields count="23">
    <pivotField numFmtId="49" showAll="0"/>
    <pivotField numFmtId="14" showAll="0"/>
    <pivotField axis="axisRow" showAll="0">
      <items count="3">
        <item x="0"/>
        <item x="1"/>
        <item t="default"/>
      </items>
    </pivotField>
    <pivotField showAll="0">
      <items count="12">
        <item x="10"/>
        <item x="8"/>
        <item x="7"/>
        <item x="0"/>
        <item x="1"/>
        <item x="2"/>
        <item x="3"/>
        <item x="9"/>
        <item x="5"/>
        <item x="6"/>
        <item x="4"/>
        <item t="default"/>
      </items>
    </pivotField>
    <pivotField showAll="0">
      <items count="4">
        <item x="2"/>
        <item x="0"/>
        <item x="1"/>
        <item t="default"/>
      </items>
    </pivotField>
    <pivotField showAll="0">
      <items count="5">
        <item x="2"/>
        <item x="3"/>
        <item x="1"/>
        <item x="0"/>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2"/>
  </rowFields>
  <rowItems count="3">
    <i>
      <x/>
    </i>
    <i>
      <x v="1"/>
    </i>
    <i t="grand">
      <x/>
    </i>
  </rowItems>
  <colFields count="1">
    <field x="-2"/>
  </colFields>
  <colItems count="3">
    <i>
      <x/>
    </i>
    <i i="1">
      <x v="1"/>
    </i>
    <i i="2">
      <x v="2"/>
    </i>
  </colItems>
  <dataFields count="3">
    <dataField name="Average of revenue" fld="21" subtotal="average" baseField="0" baseItem="0"/>
    <dataField name="Sum of orders" fld="11" baseField="0" baseItem="0"/>
    <dataField name="Sum of clicks" fld="9" baseField="0" baseItem="0"/>
  </dataFields>
  <chartFormats count="19">
    <chartFormat chart="5"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2" count="1" selected="0">
            <x v="0"/>
          </reference>
        </references>
      </pivotArea>
    </chartFormat>
    <chartFormat chart="12" format="17">
      <pivotArea type="data" outline="0" fieldPosition="0">
        <references count="2">
          <reference field="4294967294" count="1" selected="0">
            <x v="1"/>
          </reference>
          <reference field="2" count="1" selected="0">
            <x v="1"/>
          </reference>
        </references>
      </pivotArea>
    </chartFormat>
    <chartFormat chart="12" format="18" series="1">
      <pivotArea type="data" outline="0" fieldPosition="0">
        <references count="1">
          <reference field="4294967294" count="1" selected="0">
            <x v="2"/>
          </reference>
        </references>
      </pivotArea>
    </chartFormat>
    <chartFormat chart="12" format="19">
      <pivotArea type="data" outline="0" fieldPosition="0">
        <references count="2">
          <reference field="4294967294" count="1" selected="0">
            <x v="2"/>
          </reference>
          <reference field="2" count="1" selected="0">
            <x v="0"/>
          </reference>
        </references>
      </pivotArea>
    </chartFormat>
    <chartFormat chart="12" format="20">
      <pivotArea type="data" outline="0" fieldPosition="0">
        <references count="2">
          <reference field="4294967294" count="1" selected="0">
            <x v="2"/>
          </reference>
          <reference field="2" count="1" selected="0">
            <x v="1"/>
          </reference>
        </references>
      </pivotArea>
    </chartFormat>
    <chartFormat chart="9" format="3">
      <pivotArea type="data" outline="0" fieldPosition="0">
        <references count="2">
          <reference field="4294967294" count="1" selected="0">
            <x v="0"/>
          </reference>
          <reference field="2" count="1" selected="0">
            <x v="0"/>
          </reference>
        </references>
      </pivotArea>
    </chartFormat>
    <chartFormat chart="9" format="4">
      <pivotArea type="data" outline="0" fieldPosition="0">
        <references count="2">
          <reference field="4294967294" count="1" selected="0">
            <x v="0"/>
          </reference>
          <reference field="2" count="1" selected="0">
            <x v="1"/>
          </reference>
        </references>
      </pivotArea>
    </chartFormat>
    <chartFormat chart="9" format="5">
      <pivotArea type="data" outline="0" fieldPosition="0">
        <references count="2">
          <reference field="4294967294" count="1" selected="0">
            <x v="1"/>
          </reference>
          <reference field="2" count="1" selected="0">
            <x v="0"/>
          </reference>
        </references>
      </pivotArea>
    </chartFormat>
    <chartFormat chart="9" format="6">
      <pivotArea type="data" outline="0" fieldPosition="0">
        <references count="2">
          <reference field="4294967294" count="1" selected="0">
            <x v="1"/>
          </reference>
          <reference field="2" count="1" selected="0">
            <x v="1"/>
          </reference>
        </references>
      </pivotArea>
    </chartFormat>
    <chartFormat chart="9" format="7">
      <pivotArea type="data" outline="0" fieldPosition="0">
        <references count="2">
          <reference field="4294967294" count="1" selected="0">
            <x v="2"/>
          </reference>
          <reference field="2" count="1" selected="0">
            <x v="0"/>
          </reference>
        </references>
      </pivotArea>
    </chartFormat>
    <chartFormat chart="9" format="8">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B4116-4109-402D-A820-3EBFD5005CE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E10" firstHeaderRow="0" firstDataRow="1" firstDataCol="1"/>
  <pivotFields count="23">
    <pivotField numFmtId="49" showAll="0"/>
    <pivotField numFmtId="14" showAll="0"/>
    <pivotField showAll="0">
      <items count="3">
        <item x="0"/>
        <item x="1"/>
        <item t="default"/>
      </items>
    </pivotField>
    <pivotField showAll="0">
      <items count="12">
        <item x="10"/>
        <item x="8"/>
        <item x="7"/>
        <item x="0"/>
        <item x="1"/>
        <item x="2"/>
        <item x="3"/>
        <item x="9"/>
        <item x="5"/>
        <item x="6"/>
        <item x="4"/>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309">
        <item x="18"/>
        <item x="293"/>
        <item x="304"/>
        <item x="292"/>
        <item x="283"/>
        <item x="82"/>
        <item x="115"/>
        <item x="300"/>
        <item x="247"/>
        <item x="303"/>
        <item x="40"/>
        <item x="10"/>
        <item x="282"/>
        <item x="266"/>
        <item x="249"/>
        <item x="7"/>
        <item x="62"/>
        <item x="17"/>
        <item x="289"/>
        <item x="271"/>
        <item x="277"/>
        <item x="227"/>
        <item x="288"/>
        <item x="291"/>
        <item x="83"/>
        <item x="270"/>
        <item x="95"/>
        <item x="12"/>
        <item x="269"/>
        <item x="281"/>
        <item x="296"/>
        <item x="260"/>
        <item x="90"/>
        <item x="294"/>
        <item x="205"/>
        <item x="287"/>
        <item x="73"/>
        <item x="295"/>
        <item x="299"/>
        <item x="6"/>
        <item x="60"/>
        <item x="116"/>
        <item x="248"/>
        <item x="84"/>
        <item x="278"/>
        <item x="150"/>
        <item x="306"/>
        <item x="302"/>
        <item x="286"/>
        <item x="29"/>
        <item x="2"/>
        <item x="244"/>
        <item x="290"/>
        <item x="238"/>
        <item x="272"/>
        <item x="3"/>
        <item x="118"/>
        <item x="273"/>
        <item x="68"/>
        <item x="297"/>
        <item x="162"/>
        <item x="72"/>
        <item x="57"/>
        <item x="51"/>
        <item x="307"/>
        <item x="305"/>
        <item x="79"/>
        <item x="0"/>
        <item x="94"/>
        <item x="274"/>
        <item x="285"/>
        <item x="64"/>
        <item x="139"/>
        <item x="298"/>
        <item x="19"/>
        <item x="268"/>
        <item x="222"/>
        <item x="267"/>
        <item x="5"/>
        <item x="200"/>
        <item x="242"/>
        <item x="301"/>
        <item x="204"/>
        <item x="74"/>
        <item x="93"/>
        <item x="265"/>
        <item x="264"/>
        <item x="128"/>
        <item x="13"/>
        <item x="61"/>
        <item x="234"/>
        <item x="226"/>
        <item x="245"/>
        <item x="280"/>
        <item x="106"/>
        <item x="50"/>
        <item x="20"/>
        <item x="105"/>
        <item x="255"/>
        <item x="161"/>
        <item x="14"/>
        <item x="251"/>
        <item x="284"/>
        <item x="250"/>
        <item x="1"/>
        <item x="246"/>
        <item x="80"/>
        <item x="138"/>
        <item x="252"/>
        <item x="8"/>
        <item x="194"/>
        <item x="223"/>
        <item x="117"/>
        <item x="276"/>
        <item x="69"/>
        <item x="11"/>
        <item x="259"/>
        <item x="237"/>
        <item x="243"/>
        <item x="103"/>
        <item x="275"/>
        <item x="91"/>
        <item x="256"/>
        <item x="58"/>
        <item x="257"/>
        <item x="9"/>
        <item x="258"/>
        <item x="230"/>
        <item x="112"/>
        <item x="126"/>
        <item x="77"/>
        <item x="66"/>
        <item x="92"/>
        <item x="16"/>
        <item x="96"/>
        <item x="63"/>
        <item x="32"/>
        <item x="225"/>
        <item x="4"/>
        <item x="233"/>
        <item x="224"/>
        <item x="187"/>
        <item x="86"/>
        <item x="183"/>
        <item x="70"/>
        <item x="172"/>
        <item x="87"/>
        <item x="228"/>
        <item x="141"/>
        <item x="236"/>
        <item x="78"/>
        <item x="81"/>
        <item x="263"/>
        <item x="53"/>
        <item x="160"/>
        <item x="71"/>
        <item x="65"/>
        <item x="67"/>
        <item x="220"/>
        <item x="279"/>
        <item x="104"/>
        <item x="221"/>
        <item x="85"/>
        <item x="39"/>
        <item x="55"/>
        <item x="35"/>
        <item x="15"/>
        <item x="262"/>
        <item x="99"/>
        <item x="100"/>
        <item x="254"/>
        <item x="129"/>
        <item x="98"/>
        <item x="21"/>
        <item x="75"/>
        <item x="261"/>
        <item x="88"/>
        <item x="127"/>
        <item x="25"/>
        <item x="113"/>
        <item x="239"/>
        <item x="101"/>
        <item x="198"/>
        <item x="145"/>
        <item x="209"/>
        <item x="47"/>
        <item x="97"/>
        <item x="193"/>
        <item x="231"/>
        <item x="123"/>
        <item x="241"/>
        <item x="36"/>
        <item x="143"/>
        <item x="134"/>
        <item x="89"/>
        <item x="56"/>
        <item x="27"/>
        <item x="229"/>
        <item x="22"/>
        <item x="102"/>
        <item x="216"/>
        <item x="30"/>
        <item x="24"/>
        <item x="235"/>
        <item x="23"/>
        <item x="76"/>
        <item x="59"/>
        <item x="201"/>
        <item x="163"/>
        <item x="156"/>
        <item x="191"/>
        <item x="124"/>
        <item x="137"/>
        <item x="44"/>
        <item x="28"/>
        <item x="253"/>
        <item x="232"/>
        <item x="46"/>
        <item x="167"/>
        <item x="171"/>
        <item x="38"/>
        <item x="110"/>
        <item x="121"/>
        <item x="34"/>
        <item x="178"/>
        <item x="189"/>
        <item x="41"/>
        <item x="125"/>
        <item x="157"/>
        <item x="108"/>
        <item x="119"/>
        <item x="107"/>
        <item x="159"/>
        <item x="240"/>
        <item x="170"/>
        <item x="131"/>
        <item x="42"/>
        <item x="215"/>
        <item x="158"/>
        <item x="182"/>
        <item x="154"/>
        <item x="151"/>
        <item x="140"/>
        <item x="195"/>
        <item x="217"/>
        <item x="33"/>
        <item x="43"/>
        <item x="109"/>
        <item x="179"/>
        <item x="37"/>
        <item x="111"/>
        <item x="26"/>
        <item x="211"/>
        <item x="122"/>
        <item x="52"/>
        <item x="120"/>
        <item x="31"/>
        <item x="146"/>
        <item x="114"/>
        <item x="144"/>
        <item x="190"/>
        <item x="136"/>
        <item x="152"/>
        <item x="175"/>
        <item x="135"/>
        <item x="149"/>
        <item x="169"/>
        <item x="153"/>
        <item x="147"/>
        <item x="192"/>
        <item x="181"/>
        <item x="49"/>
        <item x="45"/>
        <item x="168"/>
        <item x="184"/>
        <item x="203"/>
        <item x="213"/>
        <item x="130"/>
        <item x="132"/>
        <item x="148"/>
        <item x="133"/>
        <item x="197"/>
        <item x="173"/>
        <item x="180"/>
        <item x="188"/>
        <item x="142"/>
        <item x="165"/>
        <item x="177"/>
        <item x="207"/>
        <item x="214"/>
        <item x="199"/>
        <item x="54"/>
        <item x="212"/>
        <item x="206"/>
        <item x="48"/>
        <item x="210"/>
        <item x="185"/>
        <item x="176"/>
        <item x="208"/>
        <item x="218"/>
        <item x="196"/>
        <item x="186"/>
        <item x="164"/>
        <item x="155"/>
        <item x="166"/>
        <item x="174"/>
        <item x="219"/>
        <item x="202"/>
        <item t="default"/>
      </items>
    </pivotField>
    <pivotField showAll="0"/>
    <pivotField showAll="0"/>
    <pivotField dataField="1" showAll="0">
      <items count="89">
        <item x="5"/>
        <item x="0"/>
        <item x="3"/>
        <item x="1"/>
        <item x="6"/>
        <item x="26"/>
        <item x="30"/>
        <item x="4"/>
        <item x="28"/>
        <item x="8"/>
        <item x="2"/>
        <item x="31"/>
        <item x="10"/>
        <item x="9"/>
        <item x="23"/>
        <item x="13"/>
        <item x="11"/>
        <item x="7"/>
        <item x="32"/>
        <item x="33"/>
        <item x="77"/>
        <item x="27"/>
        <item x="61"/>
        <item x="22"/>
        <item x="57"/>
        <item x="46"/>
        <item x="18"/>
        <item x="35"/>
        <item x="37"/>
        <item x="48"/>
        <item x="16"/>
        <item x="39"/>
        <item x="34"/>
        <item x="87"/>
        <item x="14"/>
        <item x="19"/>
        <item x="64"/>
        <item x="21"/>
        <item x="73"/>
        <item x="68"/>
        <item x="56"/>
        <item x="71"/>
        <item x="83"/>
        <item x="49"/>
        <item x="42"/>
        <item x="15"/>
        <item x="43"/>
        <item x="53"/>
        <item x="52"/>
        <item x="44"/>
        <item x="38"/>
        <item x="76"/>
        <item x="20"/>
        <item x="40"/>
        <item x="66"/>
        <item x="59"/>
        <item x="62"/>
        <item x="82"/>
        <item x="51"/>
        <item x="70"/>
        <item x="25"/>
        <item x="41"/>
        <item x="60"/>
        <item x="54"/>
        <item x="50"/>
        <item x="67"/>
        <item x="17"/>
        <item x="12"/>
        <item x="36"/>
        <item x="79"/>
        <item x="55"/>
        <item x="80"/>
        <item x="75"/>
        <item x="47"/>
        <item x="29"/>
        <item x="63"/>
        <item x="74"/>
        <item x="85"/>
        <item x="81"/>
        <item x="72"/>
        <item x="24"/>
        <item x="69"/>
        <item x="45"/>
        <item x="65"/>
        <item x="58"/>
        <item x="84"/>
        <item x="86"/>
        <item x="78"/>
        <item t="default"/>
      </items>
    </pivotField>
    <pivotField showAll="0"/>
    <pivotField showAll="0"/>
    <pivotField showAll="0"/>
    <pivotField showAll="0"/>
    <pivotField showAll="0"/>
    <pivotField showAll="0"/>
    <pivotField showAll="0"/>
    <pivotField dataField="1" showAll="0">
      <items count="309">
        <item x="206"/>
        <item x="173"/>
        <item x="184"/>
        <item x="166"/>
        <item x="155"/>
        <item x="52"/>
        <item x="212"/>
        <item x="151"/>
        <item x="217"/>
        <item x="195"/>
        <item x="140"/>
        <item x="188"/>
        <item x="199"/>
        <item x="107"/>
        <item x="41"/>
        <item x="190"/>
        <item x="177"/>
        <item x="149"/>
        <item x="146"/>
        <item x="135"/>
        <item x="215"/>
        <item x="168"/>
        <item x="30"/>
        <item x="210"/>
        <item x="133"/>
        <item x="171"/>
        <item x="176"/>
        <item x="111"/>
        <item x="165"/>
        <item x="45"/>
        <item x="144"/>
        <item x="239"/>
        <item x="179"/>
        <item x="182"/>
        <item x="261"/>
        <item x="129"/>
        <item x="142"/>
        <item x="85"/>
        <item x="34"/>
        <item x="157"/>
        <item x="124"/>
        <item x="228"/>
        <item x="96"/>
        <item x="232"/>
        <item x="102"/>
        <item x="63"/>
        <item x="193"/>
        <item x="33"/>
        <item x="127"/>
        <item x="23"/>
        <item x="154"/>
        <item x="56"/>
        <item x="39"/>
        <item x="160"/>
        <item x="122"/>
        <item x="67"/>
        <item x="121"/>
        <item x="250"/>
        <item x="8"/>
        <item x="253"/>
        <item x="25"/>
        <item x="221"/>
        <item x="254"/>
        <item x="113"/>
        <item x="58"/>
        <item x="201"/>
        <item x="74"/>
        <item x="100"/>
        <item x="198"/>
        <item x="259"/>
        <item x="19"/>
        <item x="220"/>
        <item x="89"/>
        <item x="47"/>
        <item x="243"/>
        <item x="138"/>
        <item x="204"/>
        <item x="105"/>
        <item x="88"/>
        <item x="44"/>
        <item x="162"/>
        <item x="50"/>
        <item x="118"/>
        <item x="91"/>
        <item x="305"/>
        <item x="187"/>
        <item x="78"/>
        <item x="272"/>
        <item x="77"/>
        <item x="237"/>
        <item x="226"/>
        <item x="223"/>
        <item x="3"/>
        <item x="267"/>
        <item x="245"/>
        <item x="256"/>
        <item x="287"/>
        <item x="298"/>
        <item x="294"/>
        <item x="72"/>
        <item x="14"/>
        <item x="276"/>
        <item x="66"/>
        <item x="0"/>
        <item x="12"/>
        <item x="278"/>
        <item x="288"/>
        <item x="6"/>
        <item x="277"/>
        <item x="289"/>
        <item x="297"/>
        <item x="94"/>
        <item x="17"/>
        <item x="116"/>
        <item x="248"/>
        <item x="1"/>
        <item x="264"/>
        <item x="36"/>
        <item x="266"/>
        <item x="99"/>
        <item x="10"/>
        <item x="286"/>
        <item x="303"/>
        <item x="11"/>
        <item x="247"/>
        <item x="110"/>
        <item x="234"/>
        <item x="281"/>
        <item x="265"/>
        <item x="300"/>
        <item x="115"/>
        <item x="82"/>
        <item x="283"/>
        <item x="69"/>
        <item x="292"/>
        <item x="304"/>
        <item x="293"/>
        <item x="18"/>
        <item x="270"/>
        <item x="83"/>
        <item x="242"/>
        <item x="61"/>
        <item x="306"/>
        <item x="307"/>
        <item x="80"/>
        <item x="20"/>
        <item x="302"/>
        <item x="295"/>
        <item x="64"/>
        <item x="296"/>
        <item x="57"/>
        <item x="73"/>
        <item x="205"/>
        <item x="260"/>
        <item x="95"/>
        <item x="60"/>
        <item x="251"/>
        <item x="227"/>
        <item x="262"/>
        <item x="275"/>
        <item x="2"/>
        <item x="209"/>
        <item x="271"/>
        <item x="143"/>
        <item x="269"/>
        <item x="7"/>
        <item x="273"/>
        <item x="282"/>
        <item x="249"/>
        <item x="62"/>
        <item x="285"/>
        <item x="291"/>
        <item x="274"/>
        <item x="40"/>
        <item x="90"/>
        <item x="299"/>
        <item x="21"/>
        <item x="84"/>
        <item x="55"/>
        <item x="150"/>
        <item x="200"/>
        <item x="238"/>
        <item x="222"/>
        <item x="98"/>
        <item x="230"/>
        <item x="252"/>
        <item x="22"/>
        <item x="68"/>
        <item x="231"/>
        <item x="5"/>
        <item x="79"/>
        <item x="93"/>
        <item x="284"/>
        <item x="255"/>
        <item x="244"/>
        <item x="28"/>
        <item x="161"/>
        <item x="87"/>
        <item x="139"/>
        <item x="76"/>
        <item x="65"/>
        <item x="153"/>
        <item x="141"/>
        <item x="53"/>
        <item x="117"/>
        <item x="13"/>
        <item x="258"/>
        <item x="86"/>
        <item x="280"/>
        <item x="183"/>
        <item x="106"/>
        <item x="119"/>
        <item x="9"/>
        <item x="16"/>
        <item x="194"/>
        <item x="108"/>
        <item x="109"/>
        <item x="290"/>
        <item x="29"/>
        <item x="229"/>
        <item x="51"/>
        <item x="236"/>
        <item x="241"/>
        <item x="163"/>
        <item x="240"/>
        <item x="75"/>
        <item x="27"/>
        <item x="32"/>
        <item x="112"/>
        <item x="225"/>
        <item x="43"/>
        <item x="126"/>
        <item x="35"/>
        <item x="301"/>
        <item x="145"/>
        <item x="71"/>
        <item x="172"/>
        <item x="170"/>
        <item x="233"/>
        <item x="128"/>
        <item x="268"/>
        <item x="263"/>
        <item x="97"/>
        <item x="132"/>
        <item x="120"/>
        <item x="101"/>
        <item x="24"/>
        <item x="175"/>
        <item x="186"/>
        <item x="54"/>
        <item x="104"/>
        <item x="216"/>
        <item x="246"/>
        <item x="131"/>
        <item x="4"/>
        <item x="156"/>
        <item x="31"/>
        <item x="123"/>
        <item x="208"/>
        <item x="148"/>
        <item x="38"/>
        <item x="42"/>
        <item x="46"/>
        <item x="167"/>
        <item x="130"/>
        <item x="81"/>
        <item x="137"/>
        <item x="70"/>
        <item x="257"/>
        <item x="279"/>
        <item x="134"/>
        <item x="189"/>
        <item x="152"/>
        <item x="15"/>
        <item x="103"/>
        <item x="178"/>
        <item x="207"/>
        <item x="92"/>
        <item x="224"/>
        <item x="185"/>
        <item x="159"/>
        <item x="59"/>
        <item x="191"/>
        <item x="211"/>
        <item x="197"/>
        <item x="218"/>
        <item x="192"/>
        <item x="49"/>
        <item x="181"/>
        <item x="219"/>
        <item x="164"/>
        <item x="203"/>
        <item x="196"/>
        <item x="235"/>
        <item x="174"/>
        <item x="125"/>
        <item x="37"/>
        <item x="214"/>
        <item x="147"/>
        <item x="26"/>
        <item x="158"/>
        <item x="114"/>
        <item x="48"/>
        <item x="169"/>
        <item x="180"/>
        <item x="136"/>
        <item x="213"/>
        <item x="202"/>
        <item t="default"/>
      </items>
    </pivotField>
    <pivotField showAll="0"/>
    <pivotField dataField="1" showAll="0"/>
    <pivotField dragToRow="0" dragToCol="0" dragToPage="0" showAll="0" defaultSubtotal="0"/>
  </pivotFields>
  <rowFields count="1">
    <field x="5"/>
  </rowFields>
  <rowItems count="5">
    <i>
      <x/>
    </i>
    <i>
      <x v="1"/>
    </i>
    <i>
      <x v="2"/>
    </i>
    <i>
      <x v="3"/>
    </i>
    <i t="grand">
      <x/>
    </i>
  </rowItems>
  <colFields count="1">
    <field x="-2"/>
  </colFields>
  <colItems count="4">
    <i>
      <x/>
    </i>
    <i i="1">
      <x v="1"/>
    </i>
    <i i="2">
      <x v="2"/>
    </i>
    <i i="3">
      <x v="3"/>
    </i>
  </colItems>
  <dataFields count="4">
    <dataField name="Sum of revenue" fld="21" baseField="0" baseItem="0"/>
    <dataField name="Sum of mark_spent" fld="8" baseField="0" baseItem="0"/>
    <dataField name="Sum of orders" fld="11" baseField="0" baseItem="0"/>
    <dataField name="Sum of Gross_Profit" fld="19" baseField="0" baseItem="0"/>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D146F8-6270-4D36-A79F-6785D18A430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C9" firstHeaderRow="0" firstDataRow="1" firstDataCol="1"/>
  <pivotFields count="23">
    <pivotField numFmtId="49" showAll="0"/>
    <pivotField numFmtId="14" showAll="0"/>
    <pivotField showAll="0">
      <items count="3">
        <item x="0"/>
        <item x="1"/>
        <item t="default"/>
      </items>
    </pivotField>
    <pivotField showAll="0">
      <items count="12">
        <item x="10"/>
        <item x="8"/>
        <item x="7"/>
        <item x="0"/>
        <item x="1"/>
        <item x="2"/>
        <item x="3"/>
        <item x="9"/>
        <item x="5"/>
        <item x="6"/>
        <item x="4"/>
        <item t="default"/>
      </items>
    </pivotField>
    <pivotField axis="axisRow" showAll="0">
      <items count="4">
        <item x="2"/>
        <item x="0"/>
        <item x="1"/>
        <item t="default"/>
      </items>
    </pivotField>
    <pivotField showAll="0"/>
    <pivotField showAll="0"/>
    <pivotField showAll="0"/>
    <pivotField dataField="1" showAll="0">
      <items count="309">
        <item x="18"/>
        <item x="293"/>
        <item x="304"/>
        <item x="292"/>
        <item x="283"/>
        <item x="82"/>
        <item x="115"/>
        <item x="300"/>
        <item x="247"/>
        <item x="303"/>
        <item x="40"/>
        <item x="10"/>
        <item x="282"/>
        <item x="266"/>
        <item x="249"/>
        <item x="7"/>
        <item x="62"/>
        <item x="17"/>
        <item x="289"/>
        <item x="271"/>
        <item x="277"/>
        <item x="227"/>
        <item x="288"/>
        <item x="291"/>
        <item x="83"/>
        <item x="270"/>
        <item x="95"/>
        <item x="12"/>
        <item x="269"/>
        <item x="281"/>
        <item x="296"/>
        <item x="260"/>
        <item x="90"/>
        <item x="294"/>
        <item x="205"/>
        <item x="287"/>
        <item x="73"/>
        <item x="295"/>
        <item x="299"/>
        <item x="6"/>
        <item x="60"/>
        <item x="116"/>
        <item x="248"/>
        <item x="84"/>
        <item x="278"/>
        <item x="150"/>
        <item x="306"/>
        <item x="302"/>
        <item x="286"/>
        <item x="29"/>
        <item x="2"/>
        <item x="244"/>
        <item x="290"/>
        <item x="238"/>
        <item x="272"/>
        <item x="3"/>
        <item x="118"/>
        <item x="273"/>
        <item x="68"/>
        <item x="297"/>
        <item x="162"/>
        <item x="72"/>
        <item x="57"/>
        <item x="51"/>
        <item x="307"/>
        <item x="305"/>
        <item x="79"/>
        <item x="0"/>
        <item x="94"/>
        <item x="274"/>
        <item x="285"/>
        <item x="64"/>
        <item x="139"/>
        <item x="298"/>
        <item x="19"/>
        <item x="268"/>
        <item x="222"/>
        <item x="267"/>
        <item x="5"/>
        <item x="200"/>
        <item x="242"/>
        <item x="301"/>
        <item x="204"/>
        <item x="74"/>
        <item x="93"/>
        <item x="265"/>
        <item x="264"/>
        <item x="128"/>
        <item x="13"/>
        <item x="61"/>
        <item x="234"/>
        <item x="226"/>
        <item x="245"/>
        <item x="280"/>
        <item x="106"/>
        <item x="50"/>
        <item x="20"/>
        <item x="105"/>
        <item x="255"/>
        <item x="161"/>
        <item x="14"/>
        <item x="251"/>
        <item x="284"/>
        <item x="250"/>
        <item x="1"/>
        <item x="246"/>
        <item x="80"/>
        <item x="138"/>
        <item x="252"/>
        <item x="8"/>
        <item x="194"/>
        <item x="223"/>
        <item x="117"/>
        <item x="276"/>
        <item x="69"/>
        <item x="11"/>
        <item x="259"/>
        <item x="237"/>
        <item x="243"/>
        <item x="103"/>
        <item x="275"/>
        <item x="91"/>
        <item x="256"/>
        <item x="58"/>
        <item x="257"/>
        <item x="9"/>
        <item x="258"/>
        <item x="230"/>
        <item x="112"/>
        <item x="126"/>
        <item x="77"/>
        <item x="66"/>
        <item x="92"/>
        <item x="16"/>
        <item x="96"/>
        <item x="63"/>
        <item x="32"/>
        <item x="225"/>
        <item x="4"/>
        <item x="233"/>
        <item x="224"/>
        <item x="187"/>
        <item x="86"/>
        <item x="183"/>
        <item x="70"/>
        <item x="172"/>
        <item x="87"/>
        <item x="228"/>
        <item x="141"/>
        <item x="236"/>
        <item x="78"/>
        <item x="81"/>
        <item x="263"/>
        <item x="53"/>
        <item x="160"/>
        <item x="71"/>
        <item x="65"/>
        <item x="67"/>
        <item x="220"/>
        <item x="279"/>
        <item x="104"/>
        <item x="221"/>
        <item x="85"/>
        <item x="39"/>
        <item x="55"/>
        <item x="35"/>
        <item x="15"/>
        <item x="262"/>
        <item x="99"/>
        <item x="100"/>
        <item x="254"/>
        <item x="129"/>
        <item x="98"/>
        <item x="21"/>
        <item x="75"/>
        <item x="261"/>
        <item x="88"/>
        <item x="127"/>
        <item x="25"/>
        <item x="113"/>
        <item x="239"/>
        <item x="101"/>
        <item x="198"/>
        <item x="145"/>
        <item x="209"/>
        <item x="47"/>
        <item x="97"/>
        <item x="193"/>
        <item x="231"/>
        <item x="123"/>
        <item x="241"/>
        <item x="36"/>
        <item x="143"/>
        <item x="134"/>
        <item x="89"/>
        <item x="56"/>
        <item x="27"/>
        <item x="229"/>
        <item x="22"/>
        <item x="102"/>
        <item x="216"/>
        <item x="30"/>
        <item x="24"/>
        <item x="235"/>
        <item x="23"/>
        <item x="76"/>
        <item x="59"/>
        <item x="201"/>
        <item x="163"/>
        <item x="156"/>
        <item x="191"/>
        <item x="124"/>
        <item x="137"/>
        <item x="44"/>
        <item x="28"/>
        <item x="253"/>
        <item x="232"/>
        <item x="46"/>
        <item x="167"/>
        <item x="171"/>
        <item x="38"/>
        <item x="110"/>
        <item x="121"/>
        <item x="34"/>
        <item x="178"/>
        <item x="189"/>
        <item x="41"/>
        <item x="125"/>
        <item x="157"/>
        <item x="108"/>
        <item x="119"/>
        <item x="107"/>
        <item x="159"/>
        <item x="240"/>
        <item x="170"/>
        <item x="131"/>
        <item x="42"/>
        <item x="215"/>
        <item x="158"/>
        <item x="182"/>
        <item x="154"/>
        <item x="151"/>
        <item x="140"/>
        <item x="195"/>
        <item x="217"/>
        <item x="33"/>
        <item x="43"/>
        <item x="109"/>
        <item x="179"/>
        <item x="37"/>
        <item x="111"/>
        <item x="26"/>
        <item x="211"/>
        <item x="122"/>
        <item x="52"/>
        <item x="120"/>
        <item x="31"/>
        <item x="146"/>
        <item x="114"/>
        <item x="144"/>
        <item x="190"/>
        <item x="136"/>
        <item x="152"/>
        <item x="175"/>
        <item x="135"/>
        <item x="149"/>
        <item x="169"/>
        <item x="153"/>
        <item x="147"/>
        <item x="192"/>
        <item x="181"/>
        <item x="49"/>
        <item x="45"/>
        <item x="168"/>
        <item x="184"/>
        <item x="203"/>
        <item x="213"/>
        <item x="130"/>
        <item x="132"/>
        <item x="148"/>
        <item x="133"/>
        <item x="197"/>
        <item x="173"/>
        <item x="180"/>
        <item x="188"/>
        <item x="142"/>
        <item x="165"/>
        <item x="177"/>
        <item x="207"/>
        <item x="214"/>
        <item x="199"/>
        <item x="54"/>
        <item x="212"/>
        <item x="206"/>
        <item x="48"/>
        <item x="210"/>
        <item x="185"/>
        <item x="176"/>
        <item x="208"/>
        <item x="218"/>
        <item x="196"/>
        <item x="186"/>
        <item x="164"/>
        <item x="155"/>
        <item x="166"/>
        <item x="174"/>
        <item x="219"/>
        <item x="202"/>
        <item t="default"/>
      </items>
    </pivotField>
    <pivotField showAll="0"/>
    <pivotField showAll="0"/>
    <pivotField showAll="0">
      <items count="89">
        <item x="5"/>
        <item x="0"/>
        <item x="3"/>
        <item x="1"/>
        <item x="6"/>
        <item x="26"/>
        <item x="30"/>
        <item x="4"/>
        <item x="28"/>
        <item x="8"/>
        <item x="2"/>
        <item x="31"/>
        <item x="10"/>
        <item x="9"/>
        <item x="23"/>
        <item x="13"/>
        <item x="11"/>
        <item x="7"/>
        <item x="32"/>
        <item x="33"/>
        <item x="77"/>
        <item x="27"/>
        <item x="61"/>
        <item x="22"/>
        <item x="57"/>
        <item x="46"/>
        <item x="18"/>
        <item x="35"/>
        <item x="37"/>
        <item x="48"/>
        <item x="16"/>
        <item x="39"/>
        <item x="34"/>
        <item x="87"/>
        <item x="14"/>
        <item x="19"/>
        <item x="64"/>
        <item x="21"/>
        <item x="73"/>
        <item x="68"/>
        <item x="56"/>
        <item x="71"/>
        <item x="83"/>
        <item x="49"/>
        <item x="42"/>
        <item x="15"/>
        <item x="43"/>
        <item x="53"/>
        <item x="52"/>
        <item x="44"/>
        <item x="38"/>
        <item x="76"/>
        <item x="20"/>
        <item x="40"/>
        <item x="66"/>
        <item x="59"/>
        <item x="62"/>
        <item x="82"/>
        <item x="51"/>
        <item x="70"/>
        <item x="25"/>
        <item x="41"/>
        <item x="60"/>
        <item x="54"/>
        <item x="50"/>
        <item x="67"/>
        <item x="17"/>
        <item x="12"/>
        <item x="36"/>
        <item x="79"/>
        <item x="55"/>
        <item x="80"/>
        <item x="75"/>
        <item x="47"/>
        <item x="29"/>
        <item x="63"/>
        <item x="74"/>
        <item x="85"/>
        <item x="81"/>
        <item x="72"/>
        <item x="24"/>
        <item x="69"/>
        <item x="45"/>
        <item x="65"/>
        <item x="58"/>
        <item x="84"/>
        <item x="86"/>
        <item x="78"/>
        <item t="default"/>
      </items>
    </pivotField>
    <pivotField showAll="0"/>
    <pivotField showAll="0"/>
    <pivotField showAll="0"/>
    <pivotField showAll="0"/>
    <pivotField showAll="0"/>
    <pivotField showAll="0"/>
    <pivotField showAll="0"/>
    <pivotField showAll="0">
      <items count="309">
        <item x="206"/>
        <item x="173"/>
        <item x="184"/>
        <item x="166"/>
        <item x="155"/>
        <item x="52"/>
        <item x="212"/>
        <item x="151"/>
        <item x="217"/>
        <item x="195"/>
        <item x="140"/>
        <item x="188"/>
        <item x="199"/>
        <item x="107"/>
        <item x="41"/>
        <item x="190"/>
        <item x="177"/>
        <item x="149"/>
        <item x="146"/>
        <item x="135"/>
        <item x="215"/>
        <item x="168"/>
        <item x="30"/>
        <item x="210"/>
        <item x="133"/>
        <item x="171"/>
        <item x="176"/>
        <item x="111"/>
        <item x="165"/>
        <item x="45"/>
        <item x="144"/>
        <item x="239"/>
        <item x="179"/>
        <item x="182"/>
        <item x="261"/>
        <item x="129"/>
        <item x="142"/>
        <item x="85"/>
        <item x="34"/>
        <item x="157"/>
        <item x="124"/>
        <item x="228"/>
        <item x="96"/>
        <item x="232"/>
        <item x="102"/>
        <item x="63"/>
        <item x="193"/>
        <item x="33"/>
        <item x="127"/>
        <item x="23"/>
        <item x="154"/>
        <item x="56"/>
        <item x="39"/>
        <item x="160"/>
        <item x="122"/>
        <item x="67"/>
        <item x="121"/>
        <item x="250"/>
        <item x="8"/>
        <item x="253"/>
        <item x="25"/>
        <item x="221"/>
        <item x="254"/>
        <item x="113"/>
        <item x="58"/>
        <item x="201"/>
        <item x="74"/>
        <item x="100"/>
        <item x="198"/>
        <item x="259"/>
        <item x="19"/>
        <item x="220"/>
        <item x="89"/>
        <item x="47"/>
        <item x="243"/>
        <item x="138"/>
        <item x="204"/>
        <item x="105"/>
        <item x="88"/>
        <item x="44"/>
        <item x="162"/>
        <item x="50"/>
        <item x="118"/>
        <item x="91"/>
        <item x="305"/>
        <item x="187"/>
        <item x="78"/>
        <item x="272"/>
        <item x="77"/>
        <item x="237"/>
        <item x="226"/>
        <item x="223"/>
        <item x="3"/>
        <item x="267"/>
        <item x="245"/>
        <item x="256"/>
        <item x="287"/>
        <item x="298"/>
        <item x="294"/>
        <item x="72"/>
        <item x="14"/>
        <item x="276"/>
        <item x="66"/>
        <item x="0"/>
        <item x="12"/>
        <item x="278"/>
        <item x="288"/>
        <item x="6"/>
        <item x="277"/>
        <item x="289"/>
        <item x="297"/>
        <item x="94"/>
        <item x="17"/>
        <item x="116"/>
        <item x="248"/>
        <item x="1"/>
        <item x="264"/>
        <item x="36"/>
        <item x="266"/>
        <item x="99"/>
        <item x="10"/>
        <item x="286"/>
        <item x="303"/>
        <item x="11"/>
        <item x="247"/>
        <item x="110"/>
        <item x="234"/>
        <item x="281"/>
        <item x="265"/>
        <item x="300"/>
        <item x="115"/>
        <item x="82"/>
        <item x="283"/>
        <item x="69"/>
        <item x="292"/>
        <item x="304"/>
        <item x="293"/>
        <item x="18"/>
        <item x="270"/>
        <item x="83"/>
        <item x="242"/>
        <item x="61"/>
        <item x="306"/>
        <item x="307"/>
        <item x="80"/>
        <item x="20"/>
        <item x="302"/>
        <item x="295"/>
        <item x="64"/>
        <item x="296"/>
        <item x="57"/>
        <item x="73"/>
        <item x="205"/>
        <item x="260"/>
        <item x="95"/>
        <item x="60"/>
        <item x="251"/>
        <item x="227"/>
        <item x="262"/>
        <item x="275"/>
        <item x="2"/>
        <item x="209"/>
        <item x="271"/>
        <item x="143"/>
        <item x="269"/>
        <item x="7"/>
        <item x="273"/>
        <item x="282"/>
        <item x="249"/>
        <item x="62"/>
        <item x="285"/>
        <item x="291"/>
        <item x="274"/>
        <item x="40"/>
        <item x="90"/>
        <item x="299"/>
        <item x="21"/>
        <item x="84"/>
        <item x="55"/>
        <item x="150"/>
        <item x="200"/>
        <item x="238"/>
        <item x="222"/>
        <item x="98"/>
        <item x="230"/>
        <item x="252"/>
        <item x="22"/>
        <item x="68"/>
        <item x="231"/>
        <item x="5"/>
        <item x="79"/>
        <item x="93"/>
        <item x="284"/>
        <item x="255"/>
        <item x="244"/>
        <item x="28"/>
        <item x="161"/>
        <item x="87"/>
        <item x="139"/>
        <item x="76"/>
        <item x="65"/>
        <item x="153"/>
        <item x="141"/>
        <item x="53"/>
        <item x="117"/>
        <item x="13"/>
        <item x="258"/>
        <item x="86"/>
        <item x="280"/>
        <item x="183"/>
        <item x="106"/>
        <item x="119"/>
        <item x="9"/>
        <item x="16"/>
        <item x="194"/>
        <item x="108"/>
        <item x="109"/>
        <item x="290"/>
        <item x="29"/>
        <item x="229"/>
        <item x="51"/>
        <item x="236"/>
        <item x="241"/>
        <item x="163"/>
        <item x="240"/>
        <item x="75"/>
        <item x="27"/>
        <item x="32"/>
        <item x="112"/>
        <item x="225"/>
        <item x="43"/>
        <item x="126"/>
        <item x="35"/>
        <item x="301"/>
        <item x="145"/>
        <item x="71"/>
        <item x="172"/>
        <item x="170"/>
        <item x="233"/>
        <item x="128"/>
        <item x="268"/>
        <item x="263"/>
        <item x="97"/>
        <item x="132"/>
        <item x="120"/>
        <item x="101"/>
        <item x="24"/>
        <item x="175"/>
        <item x="186"/>
        <item x="54"/>
        <item x="104"/>
        <item x="216"/>
        <item x="246"/>
        <item x="131"/>
        <item x="4"/>
        <item x="156"/>
        <item x="31"/>
        <item x="123"/>
        <item x="208"/>
        <item x="148"/>
        <item x="38"/>
        <item x="42"/>
        <item x="46"/>
        <item x="167"/>
        <item x="130"/>
        <item x="81"/>
        <item x="137"/>
        <item x="70"/>
        <item x="257"/>
        <item x="279"/>
        <item x="134"/>
        <item x="189"/>
        <item x="152"/>
        <item x="15"/>
        <item x="103"/>
        <item x="178"/>
        <item x="207"/>
        <item x="92"/>
        <item x="224"/>
        <item x="185"/>
        <item x="159"/>
        <item x="59"/>
        <item x="191"/>
        <item x="211"/>
        <item x="197"/>
        <item x="218"/>
        <item x="192"/>
        <item x="49"/>
        <item x="181"/>
        <item x="219"/>
        <item x="164"/>
        <item x="203"/>
        <item x="196"/>
        <item x="235"/>
        <item x="174"/>
        <item x="125"/>
        <item x="37"/>
        <item x="214"/>
        <item x="147"/>
        <item x="26"/>
        <item x="158"/>
        <item x="114"/>
        <item x="48"/>
        <item x="169"/>
        <item x="180"/>
        <item x="136"/>
        <item x="213"/>
        <item x="202"/>
        <item t="default"/>
      </items>
    </pivotField>
    <pivotField showAll="0"/>
    <pivotField dataField="1" showAll="0"/>
    <pivotField dragToRow="0" dragToCol="0" dragToPage="0" showAll="0" defaultSubtotal="0"/>
  </pivotFields>
  <rowFields count="1">
    <field x="4"/>
  </rowFields>
  <rowItems count="4">
    <i>
      <x/>
    </i>
    <i>
      <x v="1"/>
    </i>
    <i>
      <x v="2"/>
    </i>
    <i t="grand">
      <x/>
    </i>
  </rowItems>
  <colFields count="1">
    <field x="-2"/>
  </colFields>
  <colItems count="2">
    <i>
      <x/>
    </i>
    <i i="1">
      <x v="1"/>
    </i>
  </colItems>
  <dataFields count="2">
    <dataField name="Sum of revenue" fld="21" baseField="0" baseItem="0"/>
    <dataField name="Sum of mark_spent" fld="8" baseField="0" baseItem="0"/>
  </dataFields>
  <chartFormats count="4">
    <chartFormat chart="0" format="1"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8E39BE-5748-4DA9-A246-B720AF0B620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5" firstHeaderRow="0" firstDataRow="1" firstDataCol="1"/>
  <pivotFields count="23">
    <pivotField numFmtId="49" showAll="0"/>
    <pivotField numFmtId="14" showAll="0"/>
    <pivotField showAll="0"/>
    <pivotField axis="axisRow" showAll="0">
      <items count="12">
        <item x="10"/>
        <item x="8"/>
        <item x="7"/>
        <item x="0"/>
        <item x="1"/>
        <item x="2"/>
        <item x="3"/>
        <item x="9"/>
        <item x="5"/>
        <item x="6"/>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2">
    <i>
      <x/>
    </i>
    <i>
      <x v="1"/>
    </i>
    <i>
      <x v="2"/>
    </i>
    <i>
      <x v="3"/>
    </i>
    <i>
      <x v="4"/>
    </i>
    <i>
      <x v="5"/>
    </i>
    <i>
      <x v="6"/>
    </i>
    <i>
      <x v="7"/>
    </i>
    <i>
      <x v="8"/>
    </i>
    <i>
      <x v="9"/>
    </i>
    <i>
      <x v="10"/>
    </i>
    <i t="grand">
      <x/>
    </i>
  </rowItems>
  <colFields count="1">
    <field x="-2"/>
  </colFields>
  <colItems count="2">
    <i>
      <x/>
    </i>
    <i i="1">
      <x v="1"/>
    </i>
  </colItems>
  <dataFields count="2">
    <dataField name="Average of Conversion_1" fld="12" subtotal="average" baseField="0" baseItem="0" numFmtId="9"/>
    <dataField name="Average of Conversion_2" fld="14" subtotal="average" baseField="0" baseItem="0" numFmtId="9"/>
  </dataFields>
  <formats count="2">
    <format dxfId="4">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D88FBCEA-29C0-4918-BA60-7D6ADA795CFE}" sourceName="campaign_name">
  <pivotTables>
    <pivotTable tabId="5" name="PivotTable4"/>
    <pivotTable tabId="3" name="PivotTable2"/>
    <pivotTable tabId="6" name="PivotTable5"/>
    <pivotTable tabId="4" name="PivotTable3"/>
    <pivotTable tabId="2" name="PivotTable1"/>
    <pivotTable tabId="7" name="PivotTable6"/>
  </pivotTables>
  <data>
    <tabular pivotCacheId="1569633567">
      <items count="11">
        <i x="10" s="1"/>
        <i x="8" s="1"/>
        <i x="7" s="1"/>
        <i x="0" s="1"/>
        <i x="1" s="1"/>
        <i x="2" s="1"/>
        <i x="3" s="1"/>
        <i x="9" s="1"/>
        <i x="5"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C9A0A6C5-A745-4818-B86C-B8E51E42676A}" sourceName="Tier ">
  <pivotTables>
    <pivotTable tabId="5" name="PivotTable4"/>
    <pivotTable tabId="3" name="PivotTable2"/>
    <pivotTable tabId="6" name="PivotTable5"/>
    <pivotTable tabId="4" name="PivotTable3"/>
    <pivotTable tabId="2" name="PivotTable1"/>
    <pivotTable tabId="7" name="PivotTable6"/>
  </pivotTables>
  <data>
    <tabular pivotCacheId="1569633567">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6A3E6A-BF9B-4417-BC8C-73CB36F6B581}" sourceName="category">
  <pivotTables>
    <pivotTable tabId="5" name="PivotTable4"/>
  </pivotTables>
  <data>
    <tabular pivotCacheId="1569633567">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Type" xr10:uid="{BD300EE1-C96E-4886-A08D-F749B4BB2877}" sourceName="Date_Type">
  <pivotTables>
    <pivotTable tabId="5" name="PivotTable4"/>
    <pivotTable tabId="3" name="PivotTable2"/>
    <pivotTable tabId="6" name="PivotTable5"/>
    <pivotTable tabId="4" name="PivotTable3"/>
    <pivotTable tabId="2" name="PivotTable1"/>
    <pivotTable tabId="7" name="PivotTable6"/>
  </pivotTables>
  <data>
    <tabular pivotCacheId="156963356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E489BBE7-7BD0-4A1A-9962-4077CF4DEA0F}" cache="Slicer_campaign_name" caption="campaign_name" rowHeight="241300"/>
  <slicer name="Tier " xr10:uid="{2F048F20-BA4D-40D8-A86B-DD9DA136EBC2}" cache="Slicer_Tier" caption="Tier " rowHeight="241300"/>
  <slicer name="category" xr10:uid="{4A14BEBB-B961-41EB-84EE-8EF669B2E810}" cache="Slicer_category" caption="category" rowHeight="241300"/>
  <slicer name="Date_Type" xr10:uid="{22287288-54FB-4DBC-88BE-886EB018A783}" cache="Slicer_Date_Type" caption="Date_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CFA50B-31F3-4D5D-B823-79A86D690B4B}" name="Marketing_Data" displayName="Marketing_Data" ref="A1:V310" totalsRowCount="1">
  <autoFilter ref="A1:V309" xr:uid="{48CFA50B-31F3-4D5D-B823-79A86D690B4B}"/>
  <tableColumns count="22">
    <tableColumn id="1" xr3:uid="{0C2D3E9E-EF30-4558-808B-260B6A2732B0}" name="id" dataDxfId="28" totalsRowDxfId="27"/>
    <tableColumn id="2" xr3:uid="{9F96C8DA-42C3-49AD-98B8-918787E363D8}" name="c_date" dataDxfId="26" totalsRowDxfId="25"/>
    <tableColumn id="12" xr3:uid="{545DFA48-C07D-4035-BDA8-A8223DC7F6A9}" name="Date_Type" dataDxfId="24" totalsRowDxfId="23">
      <calculatedColumnFormula>IF(WEEKDAY(B2,2)&gt;5,"Weekend","Weekday")</calculatedColumnFormula>
    </tableColumn>
    <tableColumn id="3" xr3:uid="{8252E7C9-61D0-4969-BE03-B3CC2660C9FE}" name="campaign_name"/>
    <tableColumn id="14" xr3:uid="{F9F77081-50DD-4133-9CFE-DF773604D3FA}" name="Tier " dataDxfId="22">
      <calculatedColumnFormula>IF(ISNUMBER(SEARCH("tier1",D2)),"Tier 1",IF(ISNUMBER(SEARCH("tier2",D2)),"Tier 2","Other"))</calculatedColumnFormula>
    </tableColumn>
    <tableColumn id="4" xr3:uid="{192F9E4C-8CFC-44AF-9353-1EAC0FD32C2F}" name="category"/>
    <tableColumn id="5" xr3:uid="{056E4E80-5E3F-429A-B401-4394A6040BD4}" name="campaign_id"/>
    <tableColumn id="6" xr3:uid="{C4ACDA0B-0AE2-412A-A1FB-23628B1762DF}" name="impressions"/>
    <tableColumn id="7" xr3:uid="{894EDF0D-641C-4826-864C-9DA63480184B}" name="mark_spent"/>
    <tableColumn id="8" xr3:uid="{C2FCF90F-4DE6-47AD-A398-E439D38ABAD7}" name="clicks"/>
    <tableColumn id="9" xr3:uid="{77F6FC92-A017-4F78-A8FE-A36493050FC9}" name="leads"/>
    <tableColumn id="10" xr3:uid="{6A8FDD39-A2EF-40B6-9049-214419B83FD0}" name="orders"/>
    <tableColumn id="21" xr3:uid="{996D7A91-D4BB-480E-A6B5-888FC5851A27}" name="Conversion_1" dataDxfId="21">
      <calculatedColumnFormula>IFERROR(Marketing_Data[[#This Row],[leads]]/Marketing_Data[[#This Row],[clicks]],0)</calculatedColumnFormula>
    </tableColumn>
    <tableColumn id="13" xr3:uid="{D6D0FACD-037F-4D80-B9AA-FA99AA1EC7C7}" name="CTR" dataDxfId="20">
      <calculatedColumnFormula>IFERROR(Marketing_Data[[#This Row],[clicks]]/Marketing_Data[[#This Row],[impressions]],0)</calculatedColumnFormula>
    </tableColumn>
    <tableColumn id="20" xr3:uid="{78F24A4E-CC23-4823-A08B-885D104CC54D}" name="Conversion_2" dataDxfId="19">
      <calculatedColumnFormula>IFERROR(Marketing_Data[[#This Row],[orders]]/Marketing_Data[[#This Row],[leads]],0)</calculatedColumnFormula>
    </tableColumn>
    <tableColumn id="19" xr3:uid="{6B4E92AC-A248-4A3B-A446-81851950289F}" name="AOV" dataDxfId="18">
      <calculatedColumnFormula>IFERROR(Marketing_Data[[#This Row],[revenue]]/Marketing_Data[[#This Row],[orders]],0)</calculatedColumnFormula>
    </tableColumn>
    <tableColumn id="18" xr3:uid="{F261CF54-FE83-4F50-B0C4-6C1C8FFE12A6}" name="CPC" dataDxfId="17">
      <calculatedColumnFormula>IFERROR(I2/J2,0)</calculatedColumnFormula>
    </tableColumn>
    <tableColumn id="22" xr3:uid="{D48DCC06-2FBC-4B8F-A34A-1CD40E48A41E}" name="CPL" dataDxfId="16">
      <calculatedColumnFormula>IFERROR(I2/K2,0)</calculatedColumnFormula>
    </tableColumn>
    <tableColumn id="23" xr3:uid="{144AF713-378A-4CEE-B401-2E7087A71AE8}" name="CAC" dataDxfId="15">
      <calculatedColumnFormula>IFERROR(I2/L2,0)</calculatedColumnFormula>
    </tableColumn>
    <tableColumn id="24" xr3:uid="{97F1E817-9553-4CAC-824D-A70B33B0391D}" name="Gross_Profit" dataDxfId="14">
      <calculatedColumnFormula>V2-I2</calculatedColumnFormula>
    </tableColumn>
    <tableColumn id="25" xr3:uid="{D60709B1-F371-48B9-BFDB-D648AD1A36D7}" name="ROMI" dataDxfId="13" totalsRowDxfId="12" totalsRowCellStyle="Percent">
      <calculatedColumnFormula>IFERROR((V2-I2)/I2,0)</calculatedColumnFormula>
    </tableColumn>
    <tableColumn id="11" xr3:uid="{48D952DD-4FBF-49D9-91AE-6797C2ECE03D}"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6DF2-22CD-4B62-98FB-6A5F6D1D079D}">
  <dimension ref="A3:F4"/>
  <sheetViews>
    <sheetView workbookViewId="0">
      <selection activeCell="J17" sqref="J17"/>
    </sheetView>
  </sheetViews>
  <sheetFormatPr defaultRowHeight="15" x14ac:dyDescent="0.25"/>
  <cols>
    <col min="1" max="1" width="16.85546875" bestFit="1" customWidth="1"/>
    <col min="2" max="2" width="14.28515625" bestFit="1" customWidth="1"/>
    <col min="3" max="3" width="17" bestFit="1" customWidth="1"/>
    <col min="4" max="5" width="12" bestFit="1" customWidth="1"/>
  </cols>
  <sheetData>
    <row r="3" spans="1:6" x14ac:dyDescent="0.25">
      <c r="A3" t="s">
        <v>54</v>
      </c>
      <c r="B3" t="s">
        <v>53</v>
      </c>
      <c r="F3" t="s">
        <v>39</v>
      </c>
    </row>
    <row r="4" spans="1:6" x14ac:dyDescent="0.25">
      <c r="A4" s="9">
        <v>30590879.819999997</v>
      </c>
      <c r="B4" s="9">
        <v>42889366</v>
      </c>
      <c r="F4" s="3">
        <f>(B4-A4)/A4</f>
        <v>0.402031136481383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2739A-DDC6-4690-BD33-ADCC6B22B351}">
  <dimension ref="A3:B15"/>
  <sheetViews>
    <sheetView workbookViewId="0">
      <selection activeCell="B5" sqref="B5"/>
    </sheetView>
  </sheetViews>
  <sheetFormatPr defaultRowHeight="15" x14ac:dyDescent="0.25"/>
  <cols>
    <col min="1" max="1" width="20.28515625" bestFit="1" customWidth="1"/>
    <col min="2" max="2" width="18.28515625" bestFit="1" customWidth="1"/>
    <col min="3" max="3" width="18.7109375" customWidth="1"/>
    <col min="4" max="4" width="12.5703125" customWidth="1"/>
    <col min="5" max="5" width="15" customWidth="1"/>
    <col min="6" max="6" width="22" customWidth="1"/>
  </cols>
  <sheetData>
    <row r="3" spans="1:2" x14ac:dyDescent="0.25">
      <c r="A3" s="4" t="s">
        <v>40</v>
      </c>
      <c r="B3" t="s">
        <v>52</v>
      </c>
    </row>
    <row r="4" spans="1:2" x14ac:dyDescent="0.25">
      <c r="A4" s="5" t="s">
        <v>23</v>
      </c>
      <c r="B4">
        <v>1566</v>
      </c>
    </row>
    <row r="5" spans="1:2" x14ac:dyDescent="0.25">
      <c r="A5" s="5" t="s">
        <v>21</v>
      </c>
      <c r="B5">
        <v>294</v>
      </c>
    </row>
    <row r="6" spans="1:2" x14ac:dyDescent="0.25">
      <c r="A6" s="5" t="s">
        <v>20</v>
      </c>
      <c r="B6">
        <v>108</v>
      </c>
    </row>
    <row r="7" spans="1:2" x14ac:dyDescent="0.25">
      <c r="A7" s="5" t="s">
        <v>11</v>
      </c>
      <c r="B7">
        <v>474</v>
      </c>
    </row>
    <row r="8" spans="1:2" x14ac:dyDescent="0.25">
      <c r="A8" s="5" t="s">
        <v>25</v>
      </c>
      <c r="B8">
        <v>688</v>
      </c>
    </row>
    <row r="9" spans="1:2" x14ac:dyDescent="0.25">
      <c r="A9" s="5" t="s">
        <v>13</v>
      </c>
      <c r="B9">
        <v>281</v>
      </c>
    </row>
    <row r="10" spans="1:2" x14ac:dyDescent="0.25">
      <c r="A10" s="5" t="s">
        <v>15</v>
      </c>
      <c r="B10">
        <v>547</v>
      </c>
    </row>
    <row r="11" spans="1:2" x14ac:dyDescent="0.25">
      <c r="A11" s="5" t="s">
        <v>22</v>
      </c>
      <c r="B11">
        <v>1100</v>
      </c>
    </row>
    <row r="12" spans="1:2" x14ac:dyDescent="0.25">
      <c r="A12" s="5" t="s">
        <v>18</v>
      </c>
      <c r="B12">
        <v>758</v>
      </c>
    </row>
    <row r="13" spans="1:2" x14ac:dyDescent="0.25">
      <c r="A13" s="5" t="s">
        <v>19</v>
      </c>
      <c r="B13">
        <v>313</v>
      </c>
    </row>
    <row r="14" spans="1:2" x14ac:dyDescent="0.25">
      <c r="A14" s="5" t="s">
        <v>16</v>
      </c>
      <c r="B14">
        <v>1914</v>
      </c>
    </row>
    <row r="15" spans="1:2" x14ac:dyDescent="0.25">
      <c r="A15" s="5" t="s">
        <v>41</v>
      </c>
      <c r="B15">
        <v>8043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A52-E375-4877-89D4-9167F5796A7C}">
  <dimension ref="A1:I35"/>
  <sheetViews>
    <sheetView workbookViewId="0">
      <selection activeCell="E20" sqref="E20"/>
    </sheetView>
  </sheetViews>
  <sheetFormatPr defaultRowHeight="15" x14ac:dyDescent="0.25"/>
  <cols>
    <col min="1" max="1" width="13.140625" bestFit="1" customWidth="1"/>
    <col min="2" max="3" width="15.140625" bestFit="1" customWidth="1"/>
    <col min="4" max="6" width="13.42578125" bestFit="1" customWidth="1"/>
    <col min="7" max="7" width="19.85546875" bestFit="1" customWidth="1"/>
    <col min="8" max="8" width="15.7109375" customWidth="1"/>
  </cols>
  <sheetData>
    <row r="1" spans="1:9" x14ac:dyDescent="0.25">
      <c r="A1" s="4" t="s">
        <v>8</v>
      </c>
      <c r="B1" t="s">
        <v>51</v>
      </c>
    </row>
    <row r="2" spans="1:9" x14ac:dyDescent="0.25">
      <c r="A2" s="4" t="s">
        <v>7</v>
      </c>
      <c r="B2" t="s">
        <v>51</v>
      </c>
    </row>
    <row r="3" spans="1:9" x14ac:dyDescent="0.25">
      <c r="A3" s="4" t="s">
        <v>9</v>
      </c>
      <c r="B3" t="s">
        <v>51</v>
      </c>
    </row>
    <row r="4" spans="1:9" x14ac:dyDescent="0.25">
      <c r="A4" s="4" t="s">
        <v>6</v>
      </c>
      <c r="B4" t="s">
        <v>51</v>
      </c>
      <c r="G4" s="3"/>
      <c r="H4" s="3"/>
      <c r="I4" s="7"/>
    </row>
    <row r="5" spans="1:9" x14ac:dyDescent="0.25">
      <c r="G5" s="3"/>
      <c r="H5" s="3"/>
      <c r="I5" s="7"/>
    </row>
    <row r="6" spans="1:9" x14ac:dyDescent="0.25">
      <c r="A6" s="4" t="s">
        <v>40</v>
      </c>
      <c r="B6" t="s">
        <v>36</v>
      </c>
      <c r="G6" s="3"/>
      <c r="H6" s="3"/>
      <c r="I6" s="7"/>
    </row>
    <row r="7" spans="1:9" x14ac:dyDescent="0.25">
      <c r="A7" s="6">
        <v>44228</v>
      </c>
      <c r="B7">
        <v>182676</v>
      </c>
      <c r="G7" s="3"/>
      <c r="H7" s="3"/>
      <c r="I7" s="7"/>
    </row>
    <row r="8" spans="1:9" x14ac:dyDescent="0.25">
      <c r="A8" s="6">
        <v>44229</v>
      </c>
      <c r="B8">
        <v>316369</v>
      </c>
      <c r="G8" s="3"/>
      <c r="H8" s="3"/>
      <c r="I8" s="7"/>
    </row>
    <row r="9" spans="1:9" x14ac:dyDescent="0.25">
      <c r="A9" s="6">
        <v>44230</v>
      </c>
      <c r="B9">
        <v>1583142</v>
      </c>
      <c r="G9" s="3"/>
      <c r="H9" s="3"/>
      <c r="I9" s="7"/>
    </row>
    <row r="10" spans="1:9" x14ac:dyDescent="0.25">
      <c r="A10" s="6">
        <v>44231</v>
      </c>
      <c r="B10">
        <v>1633899</v>
      </c>
      <c r="G10" s="3"/>
      <c r="H10" s="3"/>
      <c r="I10" s="7"/>
    </row>
    <row r="11" spans="1:9" x14ac:dyDescent="0.25">
      <c r="A11" s="6">
        <v>44232</v>
      </c>
      <c r="B11">
        <v>2704723</v>
      </c>
      <c r="G11" s="3"/>
      <c r="H11" s="3"/>
      <c r="I11" s="7"/>
    </row>
    <row r="12" spans="1:9" x14ac:dyDescent="0.25">
      <c r="A12" s="6">
        <v>44233</v>
      </c>
      <c r="B12">
        <v>416199</v>
      </c>
      <c r="G12" s="3"/>
      <c r="H12" s="3"/>
      <c r="I12" s="7"/>
    </row>
    <row r="13" spans="1:9" x14ac:dyDescent="0.25">
      <c r="A13" s="6">
        <v>44234</v>
      </c>
      <c r="B13">
        <v>434647</v>
      </c>
      <c r="G13" s="3"/>
      <c r="H13" s="3"/>
      <c r="I13" s="7"/>
    </row>
    <row r="14" spans="1:9" x14ac:dyDescent="0.25">
      <c r="A14" s="6">
        <v>44235</v>
      </c>
      <c r="B14">
        <v>308655</v>
      </c>
      <c r="G14" s="3"/>
      <c r="H14" s="3"/>
      <c r="I14" s="7"/>
    </row>
    <row r="15" spans="1:9" x14ac:dyDescent="0.25">
      <c r="A15" s="6">
        <v>44236</v>
      </c>
      <c r="B15">
        <v>437923</v>
      </c>
      <c r="G15" s="3"/>
      <c r="H15" s="3"/>
      <c r="I15" s="7"/>
    </row>
    <row r="16" spans="1:9" x14ac:dyDescent="0.25">
      <c r="A16" s="6">
        <v>44237</v>
      </c>
      <c r="B16">
        <v>811363</v>
      </c>
      <c r="G16" s="3"/>
      <c r="H16" s="3"/>
      <c r="I16" s="7"/>
    </row>
    <row r="17" spans="1:9" x14ac:dyDescent="0.25">
      <c r="A17" s="6">
        <v>44238</v>
      </c>
      <c r="B17">
        <v>1563209</v>
      </c>
      <c r="G17" s="3"/>
      <c r="H17" s="3"/>
      <c r="I17" s="7"/>
    </row>
    <row r="18" spans="1:9" x14ac:dyDescent="0.25">
      <c r="A18" s="6">
        <v>44239</v>
      </c>
      <c r="B18">
        <v>1657464</v>
      </c>
      <c r="G18" s="3"/>
      <c r="H18" s="3"/>
      <c r="I18" s="7"/>
    </row>
    <row r="19" spans="1:9" x14ac:dyDescent="0.25">
      <c r="A19" s="6">
        <v>44240</v>
      </c>
      <c r="B19">
        <v>2802893</v>
      </c>
      <c r="G19" s="3"/>
      <c r="H19" s="3"/>
      <c r="I19" s="7"/>
    </row>
    <row r="20" spans="1:9" x14ac:dyDescent="0.25">
      <c r="A20" s="6">
        <v>44241</v>
      </c>
      <c r="B20">
        <v>2197128</v>
      </c>
      <c r="G20" s="3"/>
      <c r="H20" s="3"/>
      <c r="I20" s="7"/>
    </row>
    <row r="21" spans="1:9" x14ac:dyDescent="0.25">
      <c r="A21" s="6">
        <v>44242</v>
      </c>
      <c r="B21">
        <v>2795172</v>
      </c>
      <c r="G21" s="3"/>
      <c r="H21" s="3"/>
      <c r="I21" s="7"/>
    </row>
    <row r="22" spans="1:9" x14ac:dyDescent="0.25">
      <c r="A22" s="6">
        <v>44243</v>
      </c>
      <c r="B22">
        <v>3620594</v>
      </c>
      <c r="G22" s="3"/>
      <c r="H22" s="3"/>
      <c r="I22" s="7"/>
    </row>
    <row r="23" spans="1:9" x14ac:dyDescent="0.25">
      <c r="A23" s="6">
        <v>44244</v>
      </c>
      <c r="B23">
        <v>4139131</v>
      </c>
      <c r="G23" s="3"/>
      <c r="H23" s="3"/>
      <c r="I23" s="7"/>
    </row>
    <row r="24" spans="1:9" x14ac:dyDescent="0.25">
      <c r="A24" s="6">
        <v>44245</v>
      </c>
      <c r="B24">
        <v>2659560</v>
      </c>
      <c r="G24" s="3"/>
      <c r="H24" s="3"/>
      <c r="I24" s="7"/>
    </row>
    <row r="25" spans="1:9" x14ac:dyDescent="0.25">
      <c r="A25" s="6">
        <v>44246</v>
      </c>
      <c r="B25">
        <v>4973240</v>
      </c>
      <c r="G25" s="3"/>
      <c r="H25" s="3"/>
      <c r="I25" s="7"/>
    </row>
    <row r="26" spans="1:9" x14ac:dyDescent="0.25">
      <c r="A26" s="6">
        <v>44247</v>
      </c>
      <c r="B26">
        <v>5261521</v>
      </c>
      <c r="G26" s="3"/>
      <c r="H26" s="3"/>
      <c r="I26" s="7"/>
    </row>
    <row r="27" spans="1:9" x14ac:dyDescent="0.25">
      <c r="A27" s="6">
        <v>44248</v>
      </c>
      <c r="B27">
        <v>436892</v>
      </c>
      <c r="G27" s="3"/>
      <c r="H27" s="3"/>
      <c r="I27" s="7"/>
    </row>
    <row r="28" spans="1:9" x14ac:dyDescent="0.25">
      <c r="A28" s="6">
        <v>44249</v>
      </c>
      <c r="B28">
        <v>893154</v>
      </c>
      <c r="G28" s="3"/>
      <c r="H28" s="3"/>
      <c r="I28" s="7"/>
    </row>
    <row r="29" spans="1:9" x14ac:dyDescent="0.25">
      <c r="A29" s="6">
        <v>44250</v>
      </c>
      <c r="B29">
        <v>162649</v>
      </c>
      <c r="G29" s="3"/>
      <c r="H29" s="3"/>
      <c r="I29" s="7"/>
    </row>
    <row r="30" spans="1:9" x14ac:dyDescent="0.25">
      <c r="A30" s="6">
        <v>44251</v>
      </c>
      <c r="B30">
        <v>440159</v>
      </c>
      <c r="G30" s="3"/>
      <c r="H30" s="3"/>
      <c r="I30" s="7"/>
    </row>
    <row r="31" spans="1:9" x14ac:dyDescent="0.25">
      <c r="A31" s="6">
        <v>44252</v>
      </c>
      <c r="B31">
        <v>99303</v>
      </c>
      <c r="G31" s="3"/>
      <c r="H31" s="3"/>
      <c r="I31" s="7"/>
    </row>
    <row r="32" spans="1:9" x14ac:dyDescent="0.25">
      <c r="A32" s="6">
        <v>44253</v>
      </c>
      <c r="B32">
        <v>238748</v>
      </c>
      <c r="G32" s="3"/>
      <c r="H32" s="3"/>
      <c r="I32" s="7"/>
    </row>
    <row r="33" spans="1:2" x14ac:dyDescent="0.25">
      <c r="A33" s="6">
        <v>44254</v>
      </c>
      <c r="B33">
        <v>42789</v>
      </c>
    </row>
    <row r="34" spans="1:2" x14ac:dyDescent="0.25">
      <c r="A34" s="6">
        <v>44255</v>
      </c>
      <c r="B34">
        <v>76164</v>
      </c>
    </row>
    <row r="35" spans="1:2" x14ac:dyDescent="0.25">
      <c r="A35" s="6" t="s">
        <v>41</v>
      </c>
      <c r="B35">
        <v>42889366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CCF4-6EB8-4C87-BA1C-FB4EE3E00865}">
  <dimension ref="A3:D6"/>
  <sheetViews>
    <sheetView workbookViewId="0">
      <selection activeCell="J15" sqref="J15"/>
    </sheetView>
  </sheetViews>
  <sheetFormatPr defaultRowHeight="15" x14ac:dyDescent="0.25"/>
  <cols>
    <col min="1" max="1" width="13.140625" bestFit="1" customWidth="1"/>
    <col min="2" max="2" width="18.7109375" bestFit="1" customWidth="1"/>
    <col min="3" max="3" width="13.42578125" bestFit="1" customWidth="1"/>
    <col min="4" max="4" width="12.28515625" bestFit="1" customWidth="1"/>
    <col min="5" max="5" width="18.28515625" bestFit="1" customWidth="1"/>
    <col min="6" max="25" width="5" bestFit="1" customWidth="1"/>
    <col min="26" max="26" width="6" bestFit="1" customWidth="1"/>
    <col min="27" max="37" width="5" bestFit="1" customWidth="1"/>
    <col min="38" max="38" width="6" bestFit="1" customWidth="1"/>
    <col min="39" max="42" width="5" bestFit="1" customWidth="1"/>
    <col min="43" max="43" width="6" bestFit="1" customWidth="1"/>
    <col min="44" max="51" width="5" bestFit="1" customWidth="1"/>
    <col min="52" max="138" width="6" bestFit="1" customWidth="1"/>
    <col min="139" max="139" width="7" bestFit="1" customWidth="1"/>
    <col min="140" max="146" width="6" bestFit="1" customWidth="1"/>
    <col min="147" max="147" width="7" bestFit="1" customWidth="1"/>
    <col min="148" max="166" width="6" bestFit="1" customWidth="1"/>
    <col min="167" max="167" width="7" bestFit="1" customWidth="1"/>
    <col min="168" max="173" width="6" bestFit="1" customWidth="1"/>
    <col min="174" max="259" width="7" bestFit="1" customWidth="1"/>
    <col min="260" max="266" width="8" bestFit="1" customWidth="1"/>
    <col min="267" max="267" width="13.42578125" bestFit="1" customWidth="1"/>
    <col min="268" max="270" width="4" bestFit="1" customWidth="1"/>
    <col min="271" max="317" width="5" bestFit="1" customWidth="1"/>
    <col min="318" max="438" width="6" bestFit="1" customWidth="1"/>
    <col min="439" max="524" width="7" bestFit="1" customWidth="1"/>
    <col min="525" max="531" width="8" bestFit="1" customWidth="1"/>
    <col min="532" max="532" width="18.28515625" bestFit="1" customWidth="1"/>
    <col min="533" max="534" width="8" bestFit="1" customWidth="1"/>
    <col min="535" max="535" width="9" bestFit="1" customWidth="1"/>
    <col min="536" max="536" width="8" bestFit="1" customWidth="1"/>
    <col min="537" max="537" width="7" bestFit="1" customWidth="1"/>
    <col min="538" max="538" width="9" bestFit="1" customWidth="1"/>
    <col min="539" max="539" width="5" bestFit="1" customWidth="1"/>
    <col min="540" max="540" width="7" bestFit="1" customWidth="1"/>
    <col min="541" max="554" width="8" bestFit="1" customWidth="1"/>
    <col min="555" max="555" width="6" bestFit="1" customWidth="1"/>
    <col min="556" max="556" width="9" bestFit="1" customWidth="1"/>
    <col min="557" max="559" width="8" bestFit="1" customWidth="1"/>
    <col min="560" max="560" width="7" bestFit="1" customWidth="1"/>
    <col min="561" max="568" width="8" bestFit="1" customWidth="1"/>
    <col min="569" max="569" width="6" bestFit="1" customWidth="1"/>
    <col min="570" max="570" width="7" bestFit="1" customWidth="1"/>
    <col min="571" max="573" width="8" bestFit="1" customWidth="1"/>
    <col min="574" max="574" width="7" bestFit="1" customWidth="1"/>
    <col min="575" max="580" width="8" bestFit="1" customWidth="1"/>
    <col min="581" max="581" width="7" bestFit="1" customWidth="1"/>
    <col min="582" max="582" width="9" bestFit="1" customWidth="1"/>
    <col min="583" max="586" width="8" bestFit="1" customWidth="1"/>
    <col min="587" max="587" width="6" bestFit="1" customWidth="1"/>
    <col min="588" max="592" width="8" bestFit="1" customWidth="1"/>
    <col min="593" max="593" width="6" bestFit="1" customWidth="1"/>
    <col min="594" max="596" width="8" bestFit="1" customWidth="1"/>
    <col min="597" max="598" width="6" bestFit="1" customWidth="1"/>
    <col min="599" max="599" width="7" bestFit="1" customWidth="1"/>
    <col min="600" max="601" width="8" bestFit="1" customWidth="1"/>
    <col min="602" max="602" width="7" bestFit="1" customWidth="1"/>
    <col min="603" max="606" width="8" bestFit="1" customWidth="1"/>
    <col min="607" max="607" width="9" bestFit="1" customWidth="1"/>
    <col min="608" max="609" width="8" bestFit="1" customWidth="1"/>
    <col min="610" max="610" width="7" bestFit="1" customWidth="1"/>
    <col min="611" max="611" width="8" bestFit="1" customWidth="1"/>
    <col min="612" max="612" width="6" bestFit="1" customWidth="1"/>
    <col min="613" max="613" width="8" bestFit="1" customWidth="1"/>
    <col min="614" max="614" width="7" bestFit="1" customWidth="1"/>
    <col min="615" max="617" width="8" bestFit="1" customWidth="1"/>
    <col min="618" max="618" width="6" bestFit="1" customWidth="1"/>
    <col min="619" max="625" width="8" bestFit="1" customWidth="1"/>
    <col min="626" max="626" width="9" bestFit="1" customWidth="1"/>
    <col min="627" max="627" width="7" bestFit="1" customWidth="1"/>
    <col min="628" max="628" width="8" bestFit="1" customWidth="1"/>
    <col min="629" max="629" width="6" bestFit="1" customWidth="1"/>
    <col min="630" max="630" width="8" bestFit="1" customWidth="1"/>
    <col min="631" max="631" width="7" bestFit="1" customWidth="1"/>
    <col min="632" max="633" width="8" bestFit="1" customWidth="1"/>
    <col min="634" max="634" width="6" bestFit="1" customWidth="1"/>
    <col min="635" max="635" width="8" bestFit="1" customWidth="1"/>
    <col min="636" max="636" width="6" bestFit="1" customWidth="1"/>
    <col min="637" max="639" width="8" bestFit="1" customWidth="1"/>
    <col min="640" max="640" width="7" bestFit="1" customWidth="1"/>
    <col min="641" max="650" width="8" bestFit="1" customWidth="1"/>
    <col min="651" max="651" width="7" bestFit="1" customWidth="1"/>
    <col min="652" max="658" width="8" bestFit="1" customWidth="1"/>
    <col min="659" max="659" width="9" bestFit="1" customWidth="1"/>
    <col min="660" max="676" width="8" bestFit="1" customWidth="1"/>
    <col min="677" max="677" width="9" bestFit="1" customWidth="1"/>
    <col min="678" max="679" width="8" bestFit="1" customWidth="1"/>
    <col min="680" max="680" width="6" bestFit="1" customWidth="1"/>
    <col min="681" max="681" width="8" bestFit="1" customWidth="1"/>
    <col min="682" max="682" width="6" bestFit="1" customWidth="1"/>
    <col min="683" max="687" width="8" bestFit="1" customWidth="1"/>
    <col min="688" max="689" width="7" bestFit="1" customWidth="1"/>
    <col min="690" max="691" width="8" bestFit="1" customWidth="1"/>
    <col min="692" max="692" width="7" bestFit="1" customWidth="1"/>
    <col min="693" max="700" width="8" bestFit="1" customWidth="1"/>
    <col min="701" max="705" width="7" bestFit="1" customWidth="1"/>
    <col min="706" max="706" width="8" bestFit="1" customWidth="1"/>
    <col min="707" max="707" width="7" bestFit="1" customWidth="1"/>
    <col min="708" max="711" width="8" bestFit="1" customWidth="1"/>
    <col min="712" max="712" width="7" bestFit="1" customWidth="1"/>
    <col min="713" max="713" width="8" bestFit="1" customWidth="1"/>
    <col min="714" max="714" width="7" bestFit="1" customWidth="1"/>
    <col min="715" max="715" width="8" bestFit="1" customWidth="1"/>
    <col min="716" max="716" width="7" bestFit="1" customWidth="1"/>
    <col min="717" max="718" width="8" bestFit="1" customWidth="1"/>
    <col min="719" max="720" width="7" bestFit="1" customWidth="1"/>
    <col min="721" max="721" width="8" bestFit="1" customWidth="1"/>
    <col min="722" max="724" width="7" bestFit="1" customWidth="1"/>
    <col min="725" max="725" width="8" bestFit="1" customWidth="1"/>
    <col min="726" max="726" width="7" bestFit="1" customWidth="1"/>
    <col min="727" max="727" width="8" bestFit="1" customWidth="1"/>
    <col min="728" max="731" width="7" bestFit="1" customWidth="1"/>
    <col min="732" max="732" width="8" bestFit="1" customWidth="1"/>
    <col min="733" max="733" width="7" bestFit="1" customWidth="1"/>
    <col min="734" max="734" width="8" bestFit="1" customWidth="1"/>
    <col min="735" max="742" width="7" bestFit="1" customWidth="1"/>
    <col min="743" max="743" width="8" bestFit="1" customWidth="1"/>
    <col min="744" max="751" width="7" bestFit="1" customWidth="1"/>
    <col min="752" max="752" width="8" bestFit="1" customWidth="1"/>
    <col min="753" max="760" width="7" bestFit="1" customWidth="1"/>
    <col min="761" max="761" width="8" bestFit="1" customWidth="1"/>
    <col min="762" max="789" width="7" bestFit="1" customWidth="1"/>
    <col min="790" max="796" width="8" bestFit="1" customWidth="1"/>
    <col min="797" max="797" width="20.140625" bestFit="1" customWidth="1"/>
    <col min="798" max="798" width="18.42578125" bestFit="1" customWidth="1"/>
    <col min="799" max="799" width="23.28515625" bestFit="1" customWidth="1"/>
  </cols>
  <sheetData>
    <row r="3" spans="1:4" x14ac:dyDescent="0.25">
      <c r="A3" s="4" t="s">
        <v>40</v>
      </c>
      <c r="B3" t="s">
        <v>46</v>
      </c>
      <c r="C3" t="s">
        <v>37</v>
      </c>
      <c r="D3" t="s">
        <v>42</v>
      </c>
    </row>
    <row r="4" spans="1:4" x14ac:dyDescent="0.25">
      <c r="A4" s="5" t="s">
        <v>44</v>
      </c>
      <c r="B4">
        <v>141914.24090909091</v>
      </c>
      <c r="C4">
        <v>5763</v>
      </c>
      <c r="D4">
        <v>2210913</v>
      </c>
    </row>
    <row r="5" spans="1:4" x14ac:dyDescent="0.25">
      <c r="A5" s="5" t="s">
        <v>45</v>
      </c>
      <c r="B5">
        <v>132593.55681818182</v>
      </c>
      <c r="C5">
        <v>2280</v>
      </c>
      <c r="D5">
        <v>789006</v>
      </c>
    </row>
    <row r="6" spans="1:4" x14ac:dyDescent="0.25">
      <c r="A6" s="5" t="s">
        <v>41</v>
      </c>
      <c r="B6">
        <v>139251.18831168831</v>
      </c>
      <c r="C6">
        <v>8043</v>
      </c>
      <c r="D6">
        <v>2999919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8F02-801C-4DF2-9EA4-FA6EDFCFF7F0}">
  <dimension ref="A4:F10"/>
  <sheetViews>
    <sheetView workbookViewId="0">
      <selection activeCell="O19" sqref="O19"/>
    </sheetView>
  </sheetViews>
  <sheetFormatPr defaultRowHeight="15" x14ac:dyDescent="0.25"/>
  <cols>
    <col min="1" max="1" width="13.140625" bestFit="1" customWidth="1"/>
    <col min="2" max="2" width="15.140625" bestFit="1" customWidth="1"/>
    <col min="3" max="3" width="18.28515625" bestFit="1" customWidth="1"/>
    <col min="4" max="4" width="13.42578125" bestFit="1" customWidth="1"/>
    <col min="5" max="5" width="18.85546875" bestFit="1" customWidth="1"/>
  </cols>
  <sheetData>
    <row r="4" spans="1:6" x14ac:dyDescent="0.25">
      <c r="F4" s="3"/>
    </row>
    <row r="5" spans="1:6" x14ac:dyDescent="0.25">
      <c r="A5" s="4" t="s">
        <v>40</v>
      </c>
      <c r="B5" t="s">
        <v>36</v>
      </c>
      <c r="C5" t="s">
        <v>35</v>
      </c>
      <c r="D5" t="s">
        <v>37</v>
      </c>
      <c r="E5" t="s">
        <v>38</v>
      </c>
      <c r="F5" s="3"/>
    </row>
    <row r="6" spans="1:6" x14ac:dyDescent="0.25">
      <c r="A6" s="5" t="s">
        <v>17</v>
      </c>
      <c r="B6">
        <v>21119887</v>
      </c>
      <c r="C6">
        <v>8305304.080000001</v>
      </c>
      <c r="D6">
        <v>3014</v>
      </c>
      <c r="E6">
        <v>12814582.92</v>
      </c>
      <c r="F6" s="3"/>
    </row>
    <row r="7" spans="1:6" x14ac:dyDescent="0.25">
      <c r="A7" s="5" t="s">
        <v>24</v>
      </c>
      <c r="B7">
        <v>6152960</v>
      </c>
      <c r="C7">
        <v>5026674.7600000007</v>
      </c>
      <c r="D7">
        <v>1566</v>
      </c>
      <c r="E7">
        <v>1126285.2400000002</v>
      </c>
      <c r="F7" s="3"/>
    </row>
    <row r="8" spans="1:6" x14ac:dyDescent="0.25">
      <c r="A8" s="5" t="s">
        <v>14</v>
      </c>
      <c r="B8">
        <v>3705065</v>
      </c>
      <c r="C8">
        <v>3460400.0700000008</v>
      </c>
      <c r="D8">
        <v>828</v>
      </c>
      <c r="E8">
        <v>244664.93</v>
      </c>
      <c r="F8" s="3"/>
    </row>
    <row r="9" spans="1:6" x14ac:dyDescent="0.25">
      <c r="A9" s="5" t="s">
        <v>12</v>
      </c>
      <c r="B9">
        <v>11911454</v>
      </c>
      <c r="C9">
        <v>13798500.909999993</v>
      </c>
      <c r="D9">
        <v>2635</v>
      </c>
      <c r="E9">
        <v>-1887046.9099999992</v>
      </c>
    </row>
    <row r="10" spans="1:6" x14ac:dyDescent="0.25">
      <c r="A10" s="5" t="s">
        <v>41</v>
      </c>
      <c r="B10">
        <v>42889366</v>
      </c>
      <c r="C10">
        <v>30590879.819999997</v>
      </c>
      <c r="D10">
        <v>8043</v>
      </c>
      <c r="E10">
        <v>12298486.18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E9CF-4D6C-4144-A6F0-FBB62A34B544}">
  <dimension ref="A4:F9"/>
  <sheetViews>
    <sheetView workbookViewId="0">
      <selection activeCell="A5" sqref="A5"/>
    </sheetView>
  </sheetViews>
  <sheetFormatPr defaultRowHeight="15" x14ac:dyDescent="0.25"/>
  <cols>
    <col min="1" max="1" width="13.140625" bestFit="1" customWidth="1"/>
    <col min="2" max="2" width="15.140625" bestFit="1" customWidth="1"/>
    <col min="3" max="3" width="18.28515625" bestFit="1" customWidth="1"/>
    <col min="4" max="5" width="18.85546875" bestFit="1" customWidth="1"/>
  </cols>
  <sheetData>
    <row r="4" spans="1:6" x14ac:dyDescent="0.25">
      <c r="F4" s="3"/>
    </row>
    <row r="5" spans="1:6" x14ac:dyDescent="0.25">
      <c r="A5" s="4" t="s">
        <v>40</v>
      </c>
      <c r="B5" t="s">
        <v>36</v>
      </c>
      <c r="C5" t="s">
        <v>35</v>
      </c>
      <c r="F5" s="3"/>
    </row>
    <row r="6" spans="1:6" x14ac:dyDescent="0.25">
      <c r="A6" s="5" t="s">
        <v>49</v>
      </c>
      <c r="B6">
        <v>31815064</v>
      </c>
      <c r="C6">
        <v>19700784.370000001</v>
      </c>
      <c r="F6" s="3"/>
    </row>
    <row r="7" spans="1:6" x14ac:dyDescent="0.25">
      <c r="A7" s="5" t="s">
        <v>47</v>
      </c>
      <c r="B7">
        <v>6940536</v>
      </c>
      <c r="C7">
        <v>5130070.7300000023</v>
      </c>
      <c r="F7" s="3"/>
    </row>
    <row r="8" spans="1:6" x14ac:dyDescent="0.25">
      <c r="A8" s="5" t="s">
        <v>50</v>
      </c>
      <c r="B8">
        <v>4133766</v>
      </c>
      <c r="C8">
        <v>5760024.7200000016</v>
      </c>
    </row>
    <row r="9" spans="1:6" x14ac:dyDescent="0.25">
      <c r="A9" s="5" t="s">
        <v>41</v>
      </c>
      <c r="B9">
        <v>42889366</v>
      </c>
      <c r="C9">
        <v>30590879.820000004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A4493-3A33-4CC3-86C8-6BD293E4BD59}">
  <dimension ref="A3:C15"/>
  <sheetViews>
    <sheetView workbookViewId="0">
      <selection activeCell="A4" sqref="A4:C14"/>
    </sheetView>
  </sheetViews>
  <sheetFormatPr defaultRowHeight="15" x14ac:dyDescent="0.25"/>
  <cols>
    <col min="1" max="1" width="20.28515625" bestFit="1" customWidth="1"/>
    <col min="2" max="3" width="23.42578125" bestFit="1" customWidth="1"/>
  </cols>
  <sheetData>
    <row r="3" spans="1:3" x14ac:dyDescent="0.25">
      <c r="A3" s="4" t="s">
        <v>40</v>
      </c>
      <c r="B3" t="s">
        <v>55</v>
      </c>
      <c r="C3" t="s">
        <v>56</v>
      </c>
    </row>
    <row r="4" spans="1:3" x14ac:dyDescent="0.25">
      <c r="A4" s="5" t="s">
        <v>23</v>
      </c>
      <c r="B4" s="10">
        <v>2.2150005855341392E-2</v>
      </c>
      <c r="C4" s="10">
        <v>0.14603304880179757</v>
      </c>
    </row>
    <row r="5" spans="1:3" x14ac:dyDescent="0.25">
      <c r="A5" s="5" t="s">
        <v>21</v>
      </c>
      <c r="B5" s="10">
        <v>1.6921552995712512E-2</v>
      </c>
      <c r="C5" s="10">
        <v>0.15285342885198519</v>
      </c>
    </row>
    <row r="6" spans="1:3" x14ac:dyDescent="0.25">
      <c r="A6" s="5" t="s">
        <v>20</v>
      </c>
      <c r="B6" s="10">
        <v>1.8000437214540359E-2</v>
      </c>
      <c r="C6" s="10">
        <v>0.204066148081994</v>
      </c>
    </row>
    <row r="7" spans="1:3" x14ac:dyDescent="0.25">
      <c r="A7" s="5" t="s">
        <v>11</v>
      </c>
      <c r="B7" s="10">
        <v>2.0717642754987577E-2</v>
      </c>
      <c r="C7" s="10">
        <v>0.12117711724434001</v>
      </c>
    </row>
    <row r="8" spans="1:3" x14ac:dyDescent="0.25">
      <c r="A8" s="5" t="s">
        <v>25</v>
      </c>
      <c r="B8" s="10">
        <v>2.4447544782113705E-2</v>
      </c>
      <c r="C8" s="10">
        <v>8.1515640910223938E-2</v>
      </c>
    </row>
    <row r="9" spans="1:3" x14ac:dyDescent="0.25">
      <c r="A9" s="5" t="s">
        <v>13</v>
      </c>
      <c r="B9" s="10">
        <v>2.0072598771871931E-2</v>
      </c>
      <c r="C9" s="10">
        <v>0.1361514380242192</v>
      </c>
    </row>
    <row r="10" spans="1:3" x14ac:dyDescent="0.25">
      <c r="A10" s="5" t="s">
        <v>15</v>
      </c>
      <c r="B10" s="10">
        <v>2.0798525062348579E-2</v>
      </c>
      <c r="C10" s="10">
        <v>9.3494305206137773E-2</v>
      </c>
    </row>
    <row r="11" spans="1:3" x14ac:dyDescent="0.25">
      <c r="A11" s="5" t="s">
        <v>22</v>
      </c>
      <c r="B11" s="10">
        <v>2.3151802073023676E-2</v>
      </c>
      <c r="C11" s="10">
        <v>0.1520560283194218</v>
      </c>
    </row>
    <row r="12" spans="1:3" x14ac:dyDescent="0.25">
      <c r="A12" s="5" t="s">
        <v>18</v>
      </c>
      <c r="B12" s="10">
        <v>1.9936571505835488E-2</v>
      </c>
      <c r="C12" s="10">
        <v>0.10728768084489329</v>
      </c>
    </row>
    <row r="13" spans="1:3" x14ac:dyDescent="0.25">
      <c r="A13" s="5" t="s">
        <v>19</v>
      </c>
      <c r="B13" s="10">
        <v>2.1014516578772739E-2</v>
      </c>
      <c r="C13" s="10">
        <v>2.6324487727243266E-2</v>
      </c>
    </row>
    <row r="14" spans="1:3" x14ac:dyDescent="0.25">
      <c r="A14" s="5" t="s">
        <v>16</v>
      </c>
      <c r="B14" s="10">
        <v>2.3033150837146722E-2</v>
      </c>
      <c r="C14" s="10">
        <v>0.19846001742621092</v>
      </c>
    </row>
    <row r="15" spans="1:3" x14ac:dyDescent="0.25">
      <c r="A15" s="5" t="s">
        <v>41</v>
      </c>
      <c r="B15" s="10">
        <v>2.0931304402881334E-2</v>
      </c>
      <c r="C15" s="10">
        <v>0.12903812194895162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0C2E-EEAA-450D-9251-A99598408116}">
  <dimension ref="A1:V310"/>
  <sheetViews>
    <sheetView topLeftCell="C1" zoomScale="82" zoomScaleNormal="82" workbookViewId="0">
      <selection activeCell="M5" sqref="M5"/>
    </sheetView>
  </sheetViews>
  <sheetFormatPr defaultRowHeight="15" x14ac:dyDescent="0.25"/>
  <cols>
    <col min="1" max="1" width="9.140625" style="2"/>
    <col min="2" max="2" width="12.140625" customWidth="1"/>
    <col min="3" max="3" width="14.5703125" customWidth="1"/>
    <col min="4" max="4" width="23.5703125" customWidth="1"/>
    <col min="5" max="5" width="14.140625" customWidth="1"/>
    <col min="6" max="6" width="14.28515625" customWidth="1"/>
    <col min="7" max="7" width="13.85546875" customWidth="1"/>
    <col min="8" max="8" width="13.5703125" customWidth="1"/>
    <col min="9" max="9" width="9" customWidth="1"/>
    <col min="10" max="10" width="9.140625" customWidth="1"/>
    <col min="12" max="12" width="15.42578125" customWidth="1"/>
    <col min="13" max="13" width="16.140625" customWidth="1"/>
    <col min="14" max="14" width="15.42578125" customWidth="1"/>
    <col min="15" max="15" width="18.140625" customWidth="1"/>
    <col min="16" max="20" width="14.140625" customWidth="1"/>
    <col min="21" max="23" width="12.7109375" customWidth="1"/>
  </cols>
  <sheetData>
    <row r="1" spans="1:22" x14ac:dyDescent="0.25">
      <c r="A1" s="2" t="s">
        <v>0</v>
      </c>
      <c r="B1" t="s">
        <v>1</v>
      </c>
      <c r="C1" t="s">
        <v>43</v>
      </c>
      <c r="D1" t="s">
        <v>2</v>
      </c>
      <c r="E1" t="s">
        <v>48</v>
      </c>
      <c r="F1" t="s">
        <v>3</v>
      </c>
      <c r="G1" t="s">
        <v>4</v>
      </c>
      <c r="H1" t="s">
        <v>5</v>
      </c>
      <c r="I1" t="s">
        <v>6</v>
      </c>
      <c r="J1" t="s">
        <v>7</v>
      </c>
      <c r="K1" t="s">
        <v>8</v>
      </c>
      <c r="L1" t="s">
        <v>9</v>
      </c>
      <c r="M1" t="s">
        <v>27</v>
      </c>
      <c r="N1" t="s">
        <v>26</v>
      </c>
      <c r="O1" t="s">
        <v>28</v>
      </c>
      <c r="P1" t="s">
        <v>29</v>
      </c>
      <c r="Q1" t="s">
        <v>30</v>
      </c>
      <c r="R1" t="s">
        <v>31</v>
      </c>
      <c r="S1" t="s">
        <v>32</v>
      </c>
      <c r="T1" t="s">
        <v>34</v>
      </c>
      <c r="U1" t="s">
        <v>33</v>
      </c>
      <c r="V1" t="s">
        <v>10</v>
      </c>
    </row>
    <row r="2" spans="1:22" x14ac:dyDescent="0.25">
      <c r="A2" s="2">
        <v>1</v>
      </c>
      <c r="B2" s="1">
        <v>44228</v>
      </c>
      <c r="C2" s="1" t="str">
        <f t="shared" ref="C2:C65" si="0">IF(WEEKDAY(B2,2)&gt;5,"Weekend","Weekday")</f>
        <v>Weekday</v>
      </c>
      <c r="D2" t="s">
        <v>11</v>
      </c>
      <c r="E2" t="str">
        <f>IF(ISNUMBER(SEARCH("tier1",D2)),"Tier 1",IF(ISNUMBER(SEARCH("tier2",D2)),"Tier 2","Other"))</f>
        <v>Tier 1</v>
      </c>
      <c r="F2" t="s">
        <v>12</v>
      </c>
      <c r="G2">
        <v>349043</v>
      </c>
      <c r="H2">
        <v>148263</v>
      </c>
      <c r="I2">
        <v>7307.37</v>
      </c>
      <c r="J2">
        <v>1210</v>
      </c>
      <c r="K2">
        <v>13</v>
      </c>
      <c r="L2">
        <v>1</v>
      </c>
      <c r="M2">
        <f>IFERROR(Marketing_Data[[#This Row],[leads]]/Marketing_Data[[#This Row],[clicks]],0)</f>
        <v>1.0743801652892562E-2</v>
      </c>
      <c r="N2">
        <f>IFERROR(Marketing_Data[[#This Row],[clicks]]/Marketing_Data[[#This Row],[impressions]],0)</f>
        <v>8.1611730505925274E-3</v>
      </c>
      <c r="O2">
        <f>IFERROR(Marketing_Data[[#This Row],[orders]]/Marketing_Data[[#This Row],[leads]],0)</f>
        <v>7.6923076923076927E-2</v>
      </c>
      <c r="P2">
        <f>IFERROR(Marketing_Data[[#This Row],[revenue]]/Marketing_Data[[#This Row],[orders]],0)</f>
        <v>4981</v>
      </c>
      <c r="Q2">
        <f t="shared" ref="Q2:Q65" si="1">IFERROR(I2/J2,0)</f>
        <v>6.039148760330578</v>
      </c>
      <c r="R2">
        <f t="shared" ref="R2:R65" si="2">IFERROR(I2/K2,0)</f>
        <v>562.10538461538465</v>
      </c>
      <c r="S2">
        <f t="shared" ref="S2:S65" si="3">IFERROR(I2/L2,0)</f>
        <v>7307.37</v>
      </c>
      <c r="T2">
        <f t="shared" ref="T2:T65" si="4">V2-I2</f>
        <v>-2326.37</v>
      </c>
      <c r="U2">
        <f t="shared" ref="U2:U65" si="5">IFERROR((V2-I2)/I2,0)</f>
        <v>-0.31835940974659827</v>
      </c>
      <c r="V2">
        <v>4981</v>
      </c>
    </row>
    <row r="3" spans="1:22" x14ac:dyDescent="0.25">
      <c r="A3" s="2">
        <v>2</v>
      </c>
      <c r="B3" s="1">
        <v>44228</v>
      </c>
      <c r="C3" s="1" t="str">
        <f t="shared" si="0"/>
        <v>Weekday</v>
      </c>
      <c r="D3" t="s">
        <v>25</v>
      </c>
      <c r="E3" t="str">
        <f t="shared" ref="E3:E65" si="6">IF(ISNUMBER(SEARCH("tier1",D3)),"Tier 1",IF(ISNUMBER(SEARCH("tier2",D3)),"Tier 2","Other"))</f>
        <v>Tier 2</v>
      </c>
      <c r="F3" t="s">
        <v>12</v>
      </c>
      <c r="G3">
        <v>348934</v>
      </c>
      <c r="H3">
        <v>220688</v>
      </c>
      <c r="I3">
        <v>16300.2</v>
      </c>
      <c r="J3">
        <v>1640</v>
      </c>
      <c r="K3">
        <v>48</v>
      </c>
      <c r="L3">
        <v>3</v>
      </c>
      <c r="M3">
        <f>IFERROR(Marketing_Data[[#This Row],[leads]]/Marketing_Data[[#This Row],[clicks]],0)</f>
        <v>2.9268292682926831E-2</v>
      </c>
      <c r="N3">
        <f>IFERROR(Marketing_Data[[#This Row],[clicks]]/Marketing_Data[[#This Row],[impressions]],0)</f>
        <v>7.4313057347930112E-3</v>
      </c>
      <c r="O3">
        <f>IFERROR(Marketing_Data[[#This Row],[orders]]/Marketing_Data[[#This Row],[leads]],0)</f>
        <v>6.25E-2</v>
      </c>
      <c r="P3">
        <f>IFERROR(Marketing_Data[[#This Row],[revenue]]/Marketing_Data[[#This Row],[orders]],0)</f>
        <v>4987.333333333333</v>
      </c>
      <c r="Q3">
        <f t="shared" si="1"/>
        <v>9.9391463414634149</v>
      </c>
      <c r="R3">
        <f t="shared" si="2"/>
        <v>339.58750000000003</v>
      </c>
      <c r="S3">
        <f t="shared" si="3"/>
        <v>5433.4000000000005</v>
      </c>
      <c r="T3">
        <f t="shared" si="4"/>
        <v>-1338.2000000000007</v>
      </c>
      <c r="U3">
        <f t="shared" si="5"/>
        <v>-8.209715218218186E-2</v>
      </c>
      <c r="V3">
        <v>14962</v>
      </c>
    </row>
    <row r="4" spans="1:22" x14ac:dyDescent="0.25">
      <c r="A4" s="2">
        <v>3</v>
      </c>
      <c r="B4" s="1">
        <v>44228</v>
      </c>
      <c r="C4" s="1" t="str">
        <f t="shared" si="0"/>
        <v>Weekday</v>
      </c>
      <c r="D4" t="s">
        <v>13</v>
      </c>
      <c r="E4" t="str">
        <f t="shared" si="6"/>
        <v>Other</v>
      </c>
      <c r="F4" t="s">
        <v>14</v>
      </c>
      <c r="G4">
        <v>89459845</v>
      </c>
      <c r="H4">
        <v>22850</v>
      </c>
      <c r="I4">
        <v>5221.6000000000004</v>
      </c>
      <c r="J4">
        <v>457</v>
      </c>
      <c r="K4">
        <v>9</v>
      </c>
      <c r="L4">
        <v>1</v>
      </c>
      <c r="M4">
        <f>IFERROR(Marketing_Data[[#This Row],[leads]]/Marketing_Data[[#This Row],[clicks]],0)</f>
        <v>1.9693654266958426E-2</v>
      </c>
      <c r="N4">
        <f>IFERROR(Marketing_Data[[#This Row],[clicks]]/Marketing_Data[[#This Row],[impressions]],0)</f>
        <v>0.02</v>
      </c>
      <c r="O4">
        <f>IFERROR(Marketing_Data[[#This Row],[orders]]/Marketing_Data[[#This Row],[leads]],0)</f>
        <v>0.1111111111111111</v>
      </c>
      <c r="P4">
        <f>IFERROR(Marketing_Data[[#This Row],[revenue]]/Marketing_Data[[#This Row],[orders]],0)</f>
        <v>7981</v>
      </c>
      <c r="Q4">
        <f t="shared" si="1"/>
        <v>11.42582056892779</v>
      </c>
      <c r="R4">
        <f t="shared" si="2"/>
        <v>580.17777777777781</v>
      </c>
      <c r="S4">
        <f t="shared" si="3"/>
        <v>5221.6000000000004</v>
      </c>
      <c r="T4">
        <f t="shared" si="4"/>
        <v>2759.3999999999996</v>
      </c>
      <c r="U4">
        <f t="shared" si="5"/>
        <v>0.52845870997395428</v>
      </c>
      <c r="V4">
        <v>7981</v>
      </c>
    </row>
    <row r="5" spans="1:22" x14ac:dyDescent="0.25">
      <c r="A5" s="2">
        <v>4</v>
      </c>
      <c r="B5" s="1">
        <v>44228</v>
      </c>
      <c r="C5" s="1" t="str">
        <f t="shared" si="0"/>
        <v>Weekday</v>
      </c>
      <c r="D5" t="s">
        <v>15</v>
      </c>
      <c r="E5" t="str">
        <f t="shared" si="6"/>
        <v>Other</v>
      </c>
      <c r="F5" t="s">
        <v>14</v>
      </c>
      <c r="G5">
        <v>127823</v>
      </c>
      <c r="H5">
        <v>147038</v>
      </c>
      <c r="I5">
        <v>6037</v>
      </c>
      <c r="J5">
        <v>1196</v>
      </c>
      <c r="K5">
        <v>24</v>
      </c>
      <c r="L5">
        <v>1</v>
      </c>
      <c r="M5">
        <f>IFERROR(Marketing_Data[[#This Row],[leads]]/Marketing_Data[[#This Row],[clicks]],0)</f>
        <v>2.0066889632107024E-2</v>
      </c>
      <c r="N5">
        <f>IFERROR(Marketing_Data[[#This Row],[clicks]]/Marketing_Data[[#This Row],[impressions]],0)</f>
        <v>8.1339517675702872E-3</v>
      </c>
      <c r="O5">
        <f>IFERROR(Marketing_Data[[#This Row],[orders]]/Marketing_Data[[#This Row],[leads]],0)</f>
        <v>4.1666666666666664E-2</v>
      </c>
      <c r="P5">
        <f>IFERROR(Marketing_Data[[#This Row],[revenue]]/Marketing_Data[[#This Row],[orders]],0)</f>
        <v>2114</v>
      </c>
      <c r="Q5">
        <f t="shared" si="1"/>
        <v>5.0476588628762542</v>
      </c>
      <c r="R5">
        <f t="shared" si="2"/>
        <v>251.54166666666666</v>
      </c>
      <c r="S5">
        <f t="shared" si="3"/>
        <v>6037</v>
      </c>
      <c r="T5">
        <f t="shared" si="4"/>
        <v>-3923</v>
      </c>
      <c r="U5">
        <f t="shared" si="5"/>
        <v>-0.64982607255259239</v>
      </c>
      <c r="V5">
        <v>2114</v>
      </c>
    </row>
    <row r="6" spans="1:22" x14ac:dyDescent="0.25">
      <c r="A6" s="2">
        <v>5</v>
      </c>
      <c r="B6" s="1">
        <v>44228</v>
      </c>
      <c r="C6" s="1" t="str">
        <f t="shared" si="0"/>
        <v>Weekday</v>
      </c>
      <c r="D6" t="s">
        <v>16</v>
      </c>
      <c r="E6" t="str">
        <f t="shared" si="6"/>
        <v>Other</v>
      </c>
      <c r="F6" t="s">
        <v>17</v>
      </c>
      <c r="G6">
        <v>10934</v>
      </c>
      <c r="H6">
        <v>225800</v>
      </c>
      <c r="I6">
        <v>29962.2</v>
      </c>
      <c r="J6">
        <v>2258</v>
      </c>
      <c r="K6">
        <v>49</v>
      </c>
      <c r="L6">
        <v>10</v>
      </c>
      <c r="M6">
        <f>IFERROR(Marketing_Data[[#This Row],[leads]]/Marketing_Data[[#This Row],[clicks]],0)</f>
        <v>2.1700620017714792E-2</v>
      </c>
      <c r="N6">
        <f>IFERROR(Marketing_Data[[#This Row],[clicks]]/Marketing_Data[[#This Row],[impressions]],0)</f>
        <v>0.01</v>
      </c>
      <c r="O6">
        <f>IFERROR(Marketing_Data[[#This Row],[orders]]/Marketing_Data[[#This Row],[leads]],0)</f>
        <v>0.20408163265306123</v>
      </c>
      <c r="P6">
        <f>IFERROR(Marketing_Data[[#This Row],[revenue]]/Marketing_Data[[#This Row],[orders]],0)</f>
        <v>8449</v>
      </c>
      <c r="Q6">
        <f t="shared" si="1"/>
        <v>13.269353410097432</v>
      </c>
      <c r="R6">
        <f t="shared" si="2"/>
        <v>611.47346938775513</v>
      </c>
      <c r="S6">
        <f t="shared" si="3"/>
        <v>2996.2200000000003</v>
      </c>
      <c r="T6">
        <f t="shared" si="4"/>
        <v>54527.8</v>
      </c>
      <c r="U6">
        <f t="shared" si="5"/>
        <v>1.8198863901849665</v>
      </c>
      <c r="V6">
        <v>84490</v>
      </c>
    </row>
    <row r="7" spans="1:22" x14ac:dyDescent="0.25">
      <c r="A7" s="2">
        <v>6</v>
      </c>
      <c r="B7" s="1">
        <v>44228</v>
      </c>
      <c r="C7" s="1" t="str">
        <f t="shared" si="0"/>
        <v>Weekday</v>
      </c>
      <c r="D7" t="s">
        <v>18</v>
      </c>
      <c r="E7" t="str">
        <f t="shared" si="6"/>
        <v>Tier 1</v>
      </c>
      <c r="F7" t="s">
        <v>12</v>
      </c>
      <c r="G7">
        <v>9034945</v>
      </c>
      <c r="H7">
        <v>444857</v>
      </c>
      <c r="I7">
        <v>9540.01</v>
      </c>
      <c r="J7">
        <v>1342</v>
      </c>
      <c r="K7">
        <v>27</v>
      </c>
      <c r="L7">
        <v>3</v>
      </c>
      <c r="M7">
        <f>IFERROR(Marketing_Data[[#This Row],[leads]]/Marketing_Data[[#This Row],[clicks]],0)</f>
        <v>2.0119225037257823E-2</v>
      </c>
      <c r="N7">
        <f>IFERROR(Marketing_Data[[#This Row],[clicks]]/Marketing_Data[[#This Row],[impressions]],0)</f>
        <v>3.0166997484584934E-3</v>
      </c>
      <c r="O7">
        <f>IFERROR(Marketing_Data[[#This Row],[orders]]/Marketing_Data[[#This Row],[leads]],0)</f>
        <v>0.1111111111111111</v>
      </c>
      <c r="P7">
        <f>IFERROR(Marketing_Data[[#This Row],[revenue]]/Marketing_Data[[#This Row],[orders]],0)</f>
        <v>5981</v>
      </c>
      <c r="Q7">
        <f t="shared" si="1"/>
        <v>7.1088002980625937</v>
      </c>
      <c r="R7">
        <f t="shared" si="2"/>
        <v>353.33370370370369</v>
      </c>
      <c r="S7">
        <f t="shared" si="3"/>
        <v>3180.0033333333336</v>
      </c>
      <c r="T7">
        <f t="shared" si="4"/>
        <v>8402.99</v>
      </c>
      <c r="U7">
        <f t="shared" si="5"/>
        <v>0.8808156385580308</v>
      </c>
      <c r="V7">
        <v>17943</v>
      </c>
    </row>
    <row r="8" spans="1:22" x14ac:dyDescent="0.25">
      <c r="A8" s="2">
        <v>7</v>
      </c>
      <c r="B8" s="1">
        <v>44228</v>
      </c>
      <c r="C8" s="1" t="str">
        <f t="shared" si="0"/>
        <v>Weekday</v>
      </c>
      <c r="D8" t="s">
        <v>19</v>
      </c>
      <c r="E8" t="str">
        <f t="shared" si="6"/>
        <v>Tier 2</v>
      </c>
      <c r="F8" t="s">
        <v>12</v>
      </c>
      <c r="G8">
        <v>983498</v>
      </c>
      <c r="H8">
        <v>511200</v>
      </c>
      <c r="I8">
        <v>3648.9</v>
      </c>
      <c r="J8">
        <v>2556</v>
      </c>
      <c r="K8">
        <v>94</v>
      </c>
      <c r="L8">
        <v>1</v>
      </c>
      <c r="M8">
        <f>IFERROR(Marketing_Data[[#This Row],[leads]]/Marketing_Data[[#This Row],[clicks]],0)</f>
        <v>3.6776212832550864E-2</v>
      </c>
      <c r="N8">
        <f>IFERROR(Marketing_Data[[#This Row],[clicks]]/Marketing_Data[[#This Row],[impressions]],0)</f>
        <v>5.0000000000000001E-3</v>
      </c>
      <c r="O8">
        <f>IFERROR(Marketing_Data[[#This Row],[orders]]/Marketing_Data[[#This Row],[leads]],0)</f>
        <v>1.0638297872340425E-2</v>
      </c>
      <c r="P8">
        <f>IFERROR(Marketing_Data[[#This Row],[revenue]]/Marketing_Data[[#This Row],[orders]],0)</f>
        <v>1981</v>
      </c>
      <c r="Q8">
        <f t="shared" si="1"/>
        <v>1.4275821596244131</v>
      </c>
      <c r="R8">
        <f t="shared" si="2"/>
        <v>38.818085106382981</v>
      </c>
      <c r="S8">
        <f t="shared" si="3"/>
        <v>3648.9</v>
      </c>
      <c r="T8">
        <f t="shared" si="4"/>
        <v>-1667.9</v>
      </c>
      <c r="U8">
        <f t="shared" si="5"/>
        <v>-0.45709665926717641</v>
      </c>
      <c r="V8">
        <v>1981</v>
      </c>
    </row>
    <row r="9" spans="1:22" x14ac:dyDescent="0.25">
      <c r="A9" s="2">
        <v>8</v>
      </c>
      <c r="B9" s="1">
        <v>44228</v>
      </c>
      <c r="C9" s="1" t="str">
        <f t="shared" si="0"/>
        <v>Weekday</v>
      </c>
      <c r="D9" t="s">
        <v>20</v>
      </c>
      <c r="E9" t="str">
        <f t="shared" si="6"/>
        <v>Other</v>
      </c>
      <c r="F9" t="s">
        <v>12</v>
      </c>
      <c r="G9">
        <v>4387490</v>
      </c>
      <c r="H9">
        <v>5544</v>
      </c>
      <c r="I9">
        <v>1293.55</v>
      </c>
      <c r="J9">
        <v>148</v>
      </c>
      <c r="K9">
        <v>3</v>
      </c>
      <c r="L9">
        <v>1</v>
      </c>
      <c r="M9">
        <f>IFERROR(Marketing_Data[[#This Row],[leads]]/Marketing_Data[[#This Row],[clicks]],0)</f>
        <v>2.0270270270270271E-2</v>
      </c>
      <c r="N9">
        <f>IFERROR(Marketing_Data[[#This Row],[clicks]]/Marketing_Data[[#This Row],[impressions]],0)</f>
        <v>2.6695526695526696E-2</v>
      </c>
      <c r="O9">
        <f>IFERROR(Marketing_Data[[#This Row],[orders]]/Marketing_Data[[#This Row],[leads]],0)</f>
        <v>0.33333333333333331</v>
      </c>
      <c r="P9">
        <f>IFERROR(Marketing_Data[[#This Row],[revenue]]/Marketing_Data[[#This Row],[orders]],0)</f>
        <v>4981</v>
      </c>
      <c r="Q9">
        <f t="shared" si="1"/>
        <v>8.7402027027027032</v>
      </c>
      <c r="R9">
        <f t="shared" si="2"/>
        <v>431.18333333333334</v>
      </c>
      <c r="S9">
        <f t="shared" si="3"/>
        <v>1293.55</v>
      </c>
      <c r="T9">
        <f t="shared" si="4"/>
        <v>3687.45</v>
      </c>
      <c r="U9">
        <f t="shared" si="5"/>
        <v>2.8506435777511498</v>
      </c>
      <c r="V9">
        <v>4981</v>
      </c>
    </row>
    <row r="10" spans="1:22" x14ac:dyDescent="0.25">
      <c r="A10" s="2">
        <v>9</v>
      </c>
      <c r="B10" s="1">
        <v>44228</v>
      </c>
      <c r="C10" s="1" t="str">
        <f t="shared" si="0"/>
        <v>Weekday</v>
      </c>
      <c r="D10" t="s">
        <v>21</v>
      </c>
      <c r="E10" t="str">
        <f t="shared" si="6"/>
        <v>Other</v>
      </c>
      <c r="F10" t="s">
        <v>12</v>
      </c>
      <c r="G10">
        <v>544756</v>
      </c>
      <c r="H10">
        <v>56916</v>
      </c>
      <c r="I10">
        <v>16997.8</v>
      </c>
      <c r="J10">
        <v>596</v>
      </c>
      <c r="K10">
        <v>14</v>
      </c>
      <c r="L10">
        <v>2</v>
      </c>
      <c r="M10">
        <f>IFERROR(Marketing_Data[[#This Row],[leads]]/Marketing_Data[[#This Row],[clicks]],0)</f>
        <v>2.3489932885906041E-2</v>
      </c>
      <c r="N10">
        <f>IFERROR(Marketing_Data[[#This Row],[clicks]]/Marketing_Data[[#This Row],[impressions]],0)</f>
        <v>1.0471572141401363E-2</v>
      </c>
      <c r="O10">
        <f>IFERROR(Marketing_Data[[#This Row],[orders]]/Marketing_Data[[#This Row],[leads]],0)</f>
        <v>0.14285714285714285</v>
      </c>
      <c r="P10">
        <f>IFERROR(Marketing_Data[[#This Row],[revenue]]/Marketing_Data[[#This Row],[orders]],0)</f>
        <v>2081</v>
      </c>
      <c r="Q10">
        <f t="shared" si="1"/>
        <v>28.51979865771812</v>
      </c>
      <c r="R10">
        <f t="shared" si="2"/>
        <v>1214.1285714285714</v>
      </c>
      <c r="S10">
        <f t="shared" si="3"/>
        <v>8498.9</v>
      </c>
      <c r="T10">
        <f t="shared" si="4"/>
        <v>-12835.8</v>
      </c>
      <c r="U10">
        <f t="shared" si="5"/>
        <v>-0.75514478344256319</v>
      </c>
      <c r="V10">
        <v>4162</v>
      </c>
    </row>
    <row r="11" spans="1:22" x14ac:dyDescent="0.25">
      <c r="A11" s="2">
        <v>10</v>
      </c>
      <c r="B11" s="1">
        <v>44228</v>
      </c>
      <c r="C11" s="1" t="str">
        <f t="shared" si="0"/>
        <v>Weekday</v>
      </c>
      <c r="D11" t="s">
        <v>22</v>
      </c>
      <c r="E11" t="str">
        <f t="shared" si="6"/>
        <v>Other</v>
      </c>
      <c r="F11" t="s">
        <v>17</v>
      </c>
      <c r="G11">
        <v>374754</v>
      </c>
      <c r="H11">
        <v>120436</v>
      </c>
      <c r="I11">
        <v>23604.1</v>
      </c>
      <c r="J11">
        <v>1498</v>
      </c>
      <c r="K11">
        <v>49</v>
      </c>
      <c r="L11">
        <v>7</v>
      </c>
      <c r="M11">
        <f>IFERROR(Marketing_Data[[#This Row],[leads]]/Marketing_Data[[#This Row],[clicks]],0)</f>
        <v>3.2710280373831772E-2</v>
      </c>
      <c r="N11">
        <f>IFERROR(Marketing_Data[[#This Row],[clicks]]/Marketing_Data[[#This Row],[impressions]],0)</f>
        <v>1.2438141419509116E-2</v>
      </c>
      <c r="O11">
        <f>IFERROR(Marketing_Data[[#This Row],[orders]]/Marketing_Data[[#This Row],[leads]],0)</f>
        <v>0.14285714285714285</v>
      </c>
      <c r="P11">
        <f>IFERROR(Marketing_Data[[#This Row],[revenue]]/Marketing_Data[[#This Row],[orders]],0)</f>
        <v>5583</v>
      </c>
      <c r="Q11">
        <f t="shared" si="1"/>
        <v>15.757076101468623</v>
      </c>
      <c r="R11">
        <f t="shared" si="2"/>
        <v>481.71632653061221</v>
      </c>
      <c r="S11">
        <f t="shared" si="3"/>
        <v>3372.0142857142855</v>
      </c>
      <c r="T11">
        <f t="shared" si="4"/>
        <v>15476.900000000001</v>
      </c>
      <c r="U11">
        <f t="shared" si="5"/>
        <v>0.65568693574421399</v>
      </c>
      <c r="V11">
        <v>39081</v>
      </c>
    </row>
    <row r="12" spans="1:22" x14ac:dyDescent="0.25">
      <c r="A12" s="2">
        <v>11</v>
      </c>
      <c r="B12" s="1">
        <v>44228</v>
      </c>
      <c r="C12" s="1" t="str">
        <f t="shared" si="0"/>
        <v>Weekday</v>
      </c>
      <c r="D12" t="s">
        <v>23</v>
      </c>
      <c r="E12" t="str">
        <f t="shared" si="6"/>
        <v>Other</v>
      </c>
      <c r="F12" t="s">
        <v>24</v>
      </c>
      <c r="G12">
        <v>39889</v>
      </c>
      <c r="H12">
        <v>20900000</v>
      </c>
      <c r="I12">
        <v>931.99</v>
      </c>
      <c r="J12">
        <v>2090</v>
      </c>
      <c r="K12">
        <v>3</v>
      </c>
      <c r="L12">
        <v>0</v>
      </c>
      <c r="M12">
        <f>IFERROR(Marketing_Data[[#This Row],[leads]]/Marketing_Data[[#This Row],[clicks]],0)</f>
        <v>1.4354066985645933E-3</v>
      </c>
      <c r="N12">
        <f>IFERROR(Marketing_Data[[#This Row],[clicks]]/Marketing_Data[[#This Row],[impressions]],0)</f>
        <v>1E-4</v>
      </c>
      <c r="O12">
        <f>IFERROR(Marketing_Data[[#This Row],[orders]]/Marketing_Data[[#This Row],[leads]],0)</f>
        <v>0</v>
      </c>
      <c r="P12">
        <f>IFERROR(Marketing_Data[[#This Row],[revenue]]/Marketing_Data[[#This Row],[orders]],0)</f>
        <v>0</v>
      </c>
      <c r="Q12">
        <f t="shared" si="1"/>
        <v>0.44592822966507178</v>
      </c>
      <c r="R12">
        <f t="shared" si="2"/>
        <v>310.66333333333336</v>
      </c>
      <c r="S12">
        <f t="shared" si="3"/>
        <v>0</v>
      </c>
      <c r="T12">
        <f t="shared" si="4"/>
        <v>-931.99</v>
      </c>
      <c r="U12">
        <f t="shared" si="5"/>
        <v>-1</v>
      </c>
      <c r="V12">
        <v>0</v>
      </c>
    </row>
    <row r="13" spans="1:22" x14ac:dyDescent="0.25">
      <c r="A13" s="2">
        <v>12</v>
      </c>
      <c r="B13" s="1">
        <v>44229</v>
      </c>
      <c r="C13" s="1" t="str">
        <f t="shared" si="0"/>
        <v>Weekday</v>
      </c>
      <c r="D13" t="s">
        <v>11</v>
      </c>
      <c r="E13" t="str">
        <f t="shared" si="6"/>
        <v>Tier 1</v>
      </c>
      <c r="F13" t="s">
        <v>12</v>
      </c>
      <c r="G13">
        <v>349043</v>
      </c>
      <c r="H13">
        <v>478200</v>
      </c>
      <c r="I13">
        <v>18385.3</v>
      </c>
      <c r="J13">
        <v>2391</v>
      </c>
      <c r="K13">
        <v>48</v>
      </c>
      <c r="L13">
        <v>4</v>
      </c>
      <c r="M13">
        <f>IFERROR(Marketing_Data[[#This Row],[leads]]/Marketing_Data[[#This Row],[clicks]],0)</f>
        <v>2.0075282308657464E-2</v>
      </c>
      <c r="N13">
        <f>IFERROR(Marketing_Data[[#This Row],[clicks]]/Marketing_Data[[#This Row],[impressions]],0)</f>
        <v>5.0000000000000001E-3</v>
      </c>
      <c r="O13">
        <f>IFERROR(Marketing_Data[[#This Row],[orders]]/Marketing_Data[[#This Row],[leads]],0)</f>
        <v>8.3333333333333329E-2</v>
      </c>
      <c r="P13">
        <f>IFERROR(Marketing_Data[[#This Row],[revenue]]/Marketing_Data[[#This Row],[orders]],0)</f>
        <v>4453</v>
      </c>
      <c r="Q13">
        <f t="shared" si="1"/>
        <v>7.6893768297783351</v>
      </c>
      <c r="R13">
        <f t="shared" si="2"/>
        <v>383.02708333333334</v>
      </c>
      <c r="S13">
        <f t="shared" si="3"/>
        <v>4596.3249999999998</v>
      </c>
      <c r="T13">
        <f t="shared" si="4"/>
        <v>-573.29999999999927</v>
      </c>
      <c r="U13">
        <f t="shared" si="5"/>
        <v>-3.1182520818262376E-2</v>
      </c>
      <c r="V13">
        <v>17812</v>
      </c>
    </row>
    <row r="14" spans="1:22" x14ac:dyDescent="0.25">
      <c r="A14" s="2">
        <v>13</v>
      </c>
      <c r="B14" s="1">
        <v>44229</v>
      </c>
      <c r="C14" s="1" t="str">
        <f t="shared" si="0"/>
        <v>Weekday</v>
      </c>
      <c r="D14" t="s">
        <v>25</v>
      </c>
      <c r="E14" t="str">
        <f t="shared" si="6"/>
        <v>Tier 2</v>
      </c>
      <c r="F14" t="s">
        <v>12</v>
      </c>
      <c r="G14">
        <v>348934</v>
      </c>
      <c r="H14">
        <v>957806</v>
      </c>
      <c r="I14">
        <v>2198.0500000000002</v>
      </c>
      <c r="J14">
        <v>3294</v>
      </c>
      <c r="K14">
        <v>10</v>
      </c>
      <c r="L14">
        <v>0</v>
      </c>
      <c r="M14">
        <f>IFERROR(Marketing_Data[[#This Row],[leads]]/Marketing_Data[[#This Row],[clicks]],0)</f>
        <v>3.0358227079538553E-3</v>
      </c>
      <c r="N14">
        <f>IFERROR(Marketing_Data[[#This Row],[clicks]]/Marketing_Data[[#This Row],[impressions]],0)</f>
        <v>3.4391097988527948E-3</v>
      </c>
      <c r="O14">
        <f>IFERROR(Marketing_Data[[#This Row],[orders]]/Marketing_Data[[#This Row],[leads]],0)</f>
        <v>0</v>
      </c>
      <c r="P14">
        <f>IFERROR(Marketing_Data[[#This Row],[revenue]]/Marketing_Data[[#This Row],[orders]],0)</f>
        <v>0</v>
      </c>
      <c r="Q14">
        <f t="shared" si="1"/>
        <v>0.66728901032179722</v>
      </c>
      <c r="R14">
        <f t="shared" si="2"/>
        <v>219.80500000000001</v>
      </c>
      <c r="S14">
        <f t="shared" si="3"/>
        <v>0</v>
      </c>
      <c r="T14">
        <f t="shared" si="4"/>
        <v>-2198.0500000000002</v>
      </c>
      <c r="U14">
        <f t="shared" si="5"/>
        <v>-1</v>
      </c>
      <c r="V14">
        <v>0</v>
      </c>
    </row>
    <row r="15" spans="1:22" x14ac:dyDescent="0.25">
      <c r="A15" s="2">
        <v>14</v>
      </c>
      <c r="B15" s="1">
        <v>44229</v>
      </c>
      <c r="C15" s="1" t="str">
        <f t="shared" si="0"/>
        <v>Weekday</v>
      </c>
      <c r="D15" t="s">
        <v>13</v>
      </c>
      <c r="E15" t="str">
        <f t="shared" si="6"/>
        <v>Other</v>
      </c>
      <c r="F15" t="s">
        <v>14</v>
      </c>
      <c r="G15">
        <v>89459845</v>
      </c>
      <c r="H15">
        <v>43806</v>
      </c>
      <c r="I15">
        <v>11446.7</v>
      </c>
      <c r="J15">
        <v>907</v>
      </c>
      <c r="K15">
        <v>18</v>
      </c>
      <c r="L15">
        <v>3</v>
      </c>
      <c r="M15">
        <f>IFERROR(Marketing_Data[[#This Row],[leads]]/Marketing_Data[[#This Row],[clicks]],0)</f>
        <v>1.9845644983461964E-2</v>
      </c>
      <c r="N15">
        <f>IFERROR(Marketing_Data[[#This Row],[clicks]]/Marketing_Data[[#This Row],[impressions]],0)</f>
        <v>2.0704926265808336E-2</v>
      </c>
      <c r="O15">
        <f>IFERROR(Marketing_Data[[#This Row],[orders]]/Marketing_Data[[#This Row],[leads]],0)</f>
        <v>0.16666666666666666</v>
      </c>
      <c r="P15">
        <f>IFERROR(Marketing_Data[[#This Row],[revenue]]/Marketing_Data[[#This Row],[orders]],0)</f>
        <v>7981</v>
      </c>
      <c r="Q15">
        <f t="shared" si="1"/>
        <v>12.62039691289967</v>
      </c>
      <c r="R15">
        <f t="shared" si="2"/>
        <v>635.92777777777781</v>
      </c>
      <c r="S15">
        <f t="shared" si="3"/>
        <v>3815.5666666666671</v>
      </c>
      <c r="T15">
        <f t="shared" si="4"/>
        <v>12496.3</v>
      </c>
      <c r="U15">
        <f t="shared" si="5"/>
        <v>1.0916945495208226</v>
      </c>
      <c r="V15">
        <v>23943</v>
      </c>
    </row>
    <row r="16" spans="1:22" x14ac:dyDescent="0.25">
      <c r="A16" s="2">
        <v>15</v>
      </c>
      <c r="B16" s="1">
        <v>44229</v>
      </c>
      <c r="C16" s="1" t="str">
        <f t="shared" si="0"/>
        <v>Weekday</v>
      </c>
      <c r="D16" t="s">
        <v>15</v>
      </c>
      <c r="E16" t="str">
        <f t="shared" si="6"/>
        <v>Other</v>
      </c>
      <c r="F16" t="s">
        <v>14</v>
      </c>
      <c r="G16">
        <v>127823</v>
      </c>
      <c r="H16">
        <v>314704</v>
      </c>
      <c r="I16">
        <v>15153.6</v>
      </c>
      <c r="J16">
        <v>2395</v>
      </c>
      <c r="K16">
        <v>39</v>
      </c>
      <c r="L16">
        <v>4</v>
      </c>
      <c r="M16">
        <f>IFERROR(Marketing_Data[[#This Row],[leads]]/Marketing_Data[[#This Row],[clicks]],0)</f>
        <v>1.6283924843423801E-2</v>
      </c>
      <c r="N16">
        <f>IFERROR(Marketing_Data[[#This Row],[clicks]]/Marketing_Data[[#This Row],[impressions]],0)</f>
        <v>7.6103258935380546E-3</v>
      </c>
      <c r="O16">
        <f>IFERROR(Marketing_Data[[#This Row],[orders]]/Marketing_Data[[#This Row],[leads]],0)</f>
        <v>0.10256410256410256</v>
      </c>
      <c r="P16">
        <f>IFERROR(Marketing_Data[[#This Row],[revenue]]/Marketing_Data[[#This Row],[orders]],0)</f>
        <v>3135</v>
      </c>
      <c r="Q16">
        <f t="shared" si="1"/>
        <v>6.3271816283924842</v>
      </c>
      <c r="R16">
        <f t="shared" si="2"/>
        <v>388.55384615384617</v>
      </c>
      <c r="S16">
        <f t="shared" si="3"/>
        <v>3788.4</v>
      </c>
      <c r="T16">
        <f t="shared" si="4"/>
        <v>-2613.6000000000004</v>
      </c>
      <c r="U16">
        <f t="shared" si="5"/>
        <v>-0.17247386759581884</v>
      </c>
      <c r="V16">
        <v>12540</v>
      </c>
    </row>
    <row r="17" spans="1:22" x14ac:dyDescent="0.25">
      <c r="A17" s="2">
        <v>16</v>
      </c>
      <c r="B17" s="1">
        <v>44229</v>
      </c>
      <c r="C17" s="1" t="str">
        <f t="shared" si="0"/>
        <v>Weekday</v>
      </c>
      <c r="D17" t="s">
        <v>16</v>
      </c>
      <c r="E17" t="str">
        <f t="shared" si="6"/>
        <v>Other</v>
      </c>
      <c r="F17" t="s">
        <v>17</v>
      </c>
      <c r="G17">
        <v>10934</v>
      </c>
      <c r="H17">
        <v>449200</v>
      </c>
      <c r="I17">
        <v>42301.1</v>
      </c>
      <c r="J17">
        <v>4492</v>
      </c>
      <c r="K17">
        <v>85</v>
      </c>
      <c r="L17">
        <v>17</v>
      </c>
      <c r="M17">
        <f>IFERROR(Marketing_Data[[#This Row],[leads]]/Marketing_Data[[#This Row],[clicks]],0)</f>
        <v>1.8922528940338381E-2</v>
      </c>
      <c r="N17">
        <f>IFERROR(Marketing_Data[[#This Row],[clicks]]/Marketing_Data[[#This Row],[impressions]],0)</f>
        <v>0.01</v>
      </c>
      <c r="O17">
        <f>IFERROR(Marketing_Data[[#This Row],[orders]]/Marketing_Data[[#This Row],[leads]],0)</f>
        <v>0.2</v>
      </c>
      <c r="P17">
        <f>IFERROR(Marketing_Data[[#This Row],[revenue]]/Marketing_Data[[#This Row],[orders]],0)</f>
        <v>8773</v>
      </c>
      <c r="Q17">
        <f t="shared" si="1"/>
        <v>9.416985752448797</v>
      </c>
      <c r="R17">
        <f t="shared" si="2"/>
        <v>497.65999999999997</v>
      </c>
      <c r="S17">
        <f t="shared" si="3"/>
        <v>2488.2999999999997</v>
      </c>
      <c r="T17">
        <f t="shared" si="4"/>
        <v>106839.9</v>
      </c>
      <c r="U17">
        <f t="shared" si="5"/>
        <v>2.5257002772977533</v>
      </c>
      <c r="V17">
        <v>149141</v>
      </c>
    </row>
    <row r="18" spans="1:22" x14ac:dyDescent="0.25">
      <c r="A18" s="2">
        <v>17</v>
      </c>
      <c r="B18" s="1">
        <v>44229</v>
      </c>
      <c r="C18" s="1" t="str">
        <f t="shared" si="0"/>
        <v>Weekday</v>
      </c>
      <c r="D18" t="s">
        <v>18</v>
      </c>
      <c r="E18" t="str">
        <f t="shared" si="6"/>
        <v>Tier 1</v>
      </c>
      <c r="F18" t="s">
        <v>12</v>
      </c>
      <c r="G18">
        <v>9034945</v>
      </c>
      <c r="H18">
        <v>540200</v>
      </c>
      <c r="I18">
        <v>29081.1</v>
      </c>
      <c r="J18">
        <v>2701</v>
      </c>
      <c r="K18">
        <v>54</v>
      </c>
      <c r="L18">
        <v>9</v>
      </c>
      <c r="M18">
        <f>IFERROR(Marketing_Data[[#This Row],[leads]]/Marketing_Data[[#This Row],[clicks]],0)</f>
        <v>1.9992595335061088E-2</v>
      </c>
      <c r="N18">
        <f>IFERROR(Marketing_Data[[#This Row],[clicks]]/Marketing_Data[[#This Row],[impressions]],0)</f>
        <v>5.0000000000000001E-3</v>
      </c>
      <c r="O18">
        <f>IFERROR(Marketing_Data[[#This Row],[orders]]/Marketing_Data[[#This Row],[leads]],0)</f>
        <v>0.16666666666666666</v>
      </c>
      <c r="P18">
        <f>IFERROR(Marketing_Data[[#This Row],[revenue]]/Marketing_Data[[#This Row],[orders]],0)</f>
        <v>5065</v>
      </c>
      <c r="Q18">
        <f t="shared" si="1"/>
        <v>10.766790077748981</v>
      </c>
      <c r="R18">
        <f t="shared" si="2"/>
        <v>538.53888888888889</v>
      </c>
      <c r="S18">
        <f t="shared" si="3"/>
        <v>3231.2333333333331</v>
      </c>
      <c r="T18">
        <f t="shared" si="4"/>
        <v>16503.900000000001</v>
      </c>
      <c r="U18">
        <f t="shared" si="5"/>
        <v>0.56751292076296989</v>
      </c>
      <c r="V18">
        <v>45585</v>
      </c>
    </row>
    <row r="19" spans="1:22" x14ac:dyDescent="0.25">
      <c r="A19" s="2">
        <v>18</v>
      </c>
      <c r="B19" s="1">
        <v>44229</v>
      </c>
      <c r="C19" s="1" t="str">
        <f t="shared" si="0"/>
        <v>Weekday</v>
      </c>
      <c r="D19" t="s">
        <v>19</v>
      </c>
      <c r="E19" t="str">
        <f t="shared" si="6"/>
        <v>Tier 2</v>
      </c>
      <c r="F19" t="s">
        <v>12</v>
      </c>
      <c r="G19">
        <v>983498</v>
      </c>
      <c r="H19">
        <v>1020800</v>
      </c>
      <c r="I19">
        <v>1421.34</v>
      </c>
      <c r="J19">
        <v>5104</v>
      </c>
      <c r="K19">
        <v>14</v>
      </c>
      <c r="L19">
        <v>0</v>
      </c>
      <c r="M19">
        <f>IFERROR(Marketing_Data[[#This Row],[leads]]/Marketing_Data[[#This Row],[clicks]],0)</f>
        <v>2.7429467084639498E-3</v>
      </c>
      <c r="N19">
        <f>IFERROR(Marketing_Data[[#This Row],[clicks]]/Marketing_Data[[#This Row],[impressions]],0)</f>
        <v>5.0000000000000001E-3</v>
      </c>
      <c r="O19">
        <f>IFERROR(Marketing_Data[[#This Row],[orders]]/Marketing_Data[[#This Row],[leads]],0)</f>
        <v>0</v>
      </c>
      <c r="P19">
        <f>IFERROR(Marketing_Data[[#This Row],[revenue]]/Marketing_Data[[#This Row],[orders]],0)</f>
        <v>0</v>
      </c>
      <c r="Q19">
        <f t="shared" si="1"/>
        <v>0.27847570532915361</v>
      </c>
      <c r="R19">
        <f t="shared" si="2"/>
        <v>101.52428571428571</v>
      </c>
      <c r="S19">
        <f t="shared" si="3"/>
        <v>0</v>
      </c>
      <c r="T19">
        <f t="shared" si="4"/>
        <v>-1421.34</v>
      </c>
      <c r="U19">
        <f t="shared" si="5"/>
        <v>-1</v>
      </c>
      <c r="V19">
        <v>0</v>
      </c>
    </row>
    <row r="20" spans="1:22" x14ac:dyDescent="0.25">
      <c r="A20" s="2">
        <v>19</v>
      </c>
      <c r="B20" s="1">
        <v>44229</v>
      </c>
      <c r="C20" s="1" t="str">
        <f t="shared" si="0"/>
        <v>Weekday</v>
      </c>
      <c r="D20" t="s">
        <v>20</v>
      </c>
      <c r="E20" t="str">
        <f t="shared" si="6"/>
        <v>Other</v>
      </c>
      <c r="F20" t="s">
        <v>12</v>
      </c>
      <c r="G20">
        <v>4387490</v>
      </c>
      <c r="H20">
        <v>10033</v>
      </c>
      <c r="I20">
        <v>169.75</v>
      </c>
      <c r="J20">
        <v>301</v>
      </c>
      <c r="K20">
        <v>0</v>
      </c>
      <c r="L20">
        <v>0</v>
      </c>
      <c r="M20">
        <f>IFERROR(Marketing_Data[[#This Row],[leads]]/Marketing_Data[[#This Row],[clicks]],0)</f>
        <v>0</v>
      </c>
      <c r="N20">
        <f>IFERROR(Marketing_Data[[#This Row],[clicks]]/Marketing_Data[[#This Row],[impressions]],0)</f>
        <v>3.000099671085418E-2</v>
      </c>
      <c r="O20">
        <f>IFERROR(Marketing_Data[[#This Row],[orders]]/Marketing_Data[[#This Row],[leads]],0)</f>
        <v>0</v>
      </c>
      <c r="P20">
        <f>IFERROR(Marketing_Data[[#This Row],[revenue]]/Marketing_Data[[#This Row],[orders]],0)</f>
        <v>0</v>
      </c>
      <c r="Q20">
        <f t="shared" si="1"/>
        <v>0.56395348837209303</v>
      </c>
      <c r="R20">
        <f t="shared" si="2"/>
        <v>0</v>
      </c>
      <c r="S20">
        <f t="shared" si="3"/>
        <v>0</v>
      </c>
      <c r="T20">
        <f t="shared" si="4"/>
        <v>-169.75</v>
      </c>
      <c r="U20">
        <f t="shared" si="5"/>
        <v>-1</v>
      </c>
      <c r="V20">
        <v>0</v>
      </c>
    </row>
    <row r="21" spans="1:22" x14ac:dyDescent="0.25">
      <c r="A21" s="2">
        <v>20</v>
      </c>
      <c r="B21" s="1">
        <v>44229</v>
      </c>
      <c r="C21" s="1" t="str">
        <f t="shared" si="0"/>
        <v>Weekday</v>
      </c>
      <c r="D21" t="s">
        <v>21</v>
      </c>
      <c r="E21" t="str">
        <f t="shared" si="6"/>
        <v>Other</v>
      </c>
      <c r="F21" t="s">
        <v>12</v>
      </c>
      <c r="G21">
        <v>544756</v>
      </c>
      <c r="H21">
        <v>107553</v>
      </c>
      <c r="I21">
        <v>8829.07</v>
      </c>
      <c r="J21">
        <v>1196</v>
      </c>
      <c r="K21">
        <v>7</v>
      </c>
      <c r="L21">
        <v>1</v>
      </c>
      <c r="M21">
        <f>IFERROR(Marketing_Data[[#This Row],[leads]]/Marketing_Data[[#This Row],[clicks]],0)</f>
        <v>5.8528428093645481E-3</v>
      </c>
      <c r="N21">
        <f>IFERROR(Marketing_Data[[#This Row],[clicks]]/Marketing_Data[[#This Row],[impressions]],0)</f>
        <v>1.1120098927970397E-2</v>
      </c>
      <c r="O21">
        <f>IFERROR(Marketing_Data[[#This Row],[orders]]/Marketing_Data[[#This Row],[leads]],0)</f>
        <v>0.14285714285714285</v>
      </c>
      <c r="P21">
        <f>IFERROR(Marketing_Data[[#This Row],[revenue]]/Marketing_Data[[#This Row],[orders]],0)</f>
        <v>1129</v>
      </c>
      <c r="Q21">
        <f t="shared" si="1"/>
        <v>7.3821655518394644</v>
      </c>
      <c r="R21">
        <f t="shared" si="2"/>
        <v>1261.2957142857142</v>
      </c>
      <c r="S21">
        <f t="shared" si="3"/>
        <v>8829.07</v>
      </c>
      <c r="T21">
        <f t="shared" si="4"/>
        <v>-7700.07</v>
      </c>
      <c r="U21">
        <f t="shared" si="5"/>
        <v>-0.87212696240940435</v>
      </c>
      <c r="V21">
        <v>1129</v>
      </c>
    </row>
    <row r="22" spans="1:22" x14ac:dyDescent="0.25">
      <c r="A22" s="2">
        <v>21</v>
      </c>
      <c r="B22" s="1">
        <v>44229</v>
      </c>
      <c r="C22" s="1" t="str">
        <f t="shared" si="0"/>
        <v>Weekday</v>
      </c>
      <c r="D22" t="s">
        <v>22</v>
      </c>
      <c r="E22" t="str">
        <f t="shared" si="6"/>
        <v>Other</v>
      </c>
      <c r="F22" t="s">
        <v>17</v>
      </c>
      <c r="G22">
        <v>374754</v>
      </c>
      <c r="H22">
        <v>299600</v>
      </c>
      <c r="I22">
        <v>13919.1</v>
      </c>
      <c r="J22">
        <v>2996</v>
      </c>
      <c r="K22">
        <v>19</v>
      </c>
      <c r="L22">
        <v>3</v>
      </c>
      <c r="M22">
        <f>IFERROR(Marketing_Data[[#This Row],[leads]]/Marketing_Data[[#This Row],[clicks]],0)</f>
        <v>6.3417890520694256E-3</v>
      </c>
      <c r="N22">
        <f>IFERROR(Marketing_Data[[#This Row],[clicks]]/Marketing_Data[[#This Row],[impressions]],0)</f>
        <v>0.01</v>
      </c>
      <c r="O22">
        <f>IFERROR(Marketing_Data[[#This Row],[orders]]/Marketing_Data[[#This Row],[leads]],0)</f>
        <v>0.15789473684210525</v>
      </c>
      <c r="P22">
        <f>IFERROR(Marketing_Data[[#This Row],[revenue]]/Marketing_Data[[#This Row],[orders]],0)</f>
        <v>4822</v>
      </c>
      <c r="Q22">
        <f t="shared" si="1"/>
        <v>4.6458945260347129</v>
      </c>
      <c r="R22">
        <f t="shared" si="2"/>
        <v>732.58421052631581</v>
      </c>
      <c r="S22">
        <f t="shared" si="3"/>
        <v>4639.7</v>
      </c>
      <c r="T22">
        <f t="shared" si="4"/>
        <v>546.89999999999964</v>
      </c>
      <c r="U22">
        <f t="shared" si="5"/>
        <v>3.9291333491389503E-2</v>
      </c>
      <c r="V22">
        <v>14466</v>
      </c>
    </row>
    <row r="23" spans="1:22" x14ac:dyDescent="0.25">
      <c r="A23" s="2">
        <v>22</v>
      </c>
      <c r="B23" s="1">
        <v>44229</v>
      </c>
      <c r="C23" s="1" t="str">
        <f t="shared" si="0"/>
        <v>Weekday</v>
      </c>
      <c r="D23" t="s">
        <v>23</v>
      </c>
      <c r="E23" t="str">
        <f t="shared" si="6"/>
        <v>Other</v>
      </c>
      <c r="F23" t="s">
        <v>24</v>
      </c>
      <c r="G23">
        <v>39889</v>
      </c>
      <c r="H23">
        <v>42000000</v>
      </c>
      <c r="I23">
        <v>46159.8</v>
      </c>
      <c r="J23">
        <v>4200</v>
      </c>
      <c r="K23">
        <v>92</v>
      </c>
      <c r="L23">
        <v>13</v>
      </c>
      <c r="M23">
        <f>IFERROR(Marketing_Data[[#This Row],[leads]]/Marketing_Data[[#This Row],[clicks]],0)</f>
        <v>2.1904761904761906E-2</v>
      </c>
      <c r="N23">
        <f>IFERROR(Marketing_Data[[#This Row],[clicks]]/Marketing_Data[[#This Row],[impressions]],0)</f>
        <v>1E-4</v>
      </c>
      <c r="O23">
        <f>IFERROR(Marketing_Data[[#This Row],[orders]]/Marketing_Data[[#This Row],[leads]],0)</f>
        <v>0.14130434782608695</v>
      </c>
      <c r="P23">
        <f>IFERROR(Marketing_Data[[#This Row],[revenue]]/Marketing_Data[[#This Row],[orders]],0)</f>
        <v>3981</v>
      </c>
      <c r="Q23">
        <f t="shared" si="1"/>
        <v>10.990428571428572</v>
      </c>
      <c r="R23">
        <f t="shared" si="2"/>
        <v>501.73695652173916</v>
      </c>
      <c r="S23">
        <f t="shared" si="3"/>
        <v>3550.7538461538466</v>
      </c>
      <c r="T23">
        <f t="shared" si="4"/>
        <v>5593.1999999999971</v>
      </c>
      <c r="U23">
        <f t="shared" si="5"/>
        <v>0.12117036902239604</v>
      </c>
      <c r="V23">
        <v>51753</v>
      </c>
    </row>
    <row r="24" spans="1:22" x14ac:dyDescent="0.25">
      <c r="A24" s="2">
        <v>23</v>
      </c>
      <c r="B24" s="1">
        <v>44230</v>
      </c>
      <c r="C24" s="1" t="str">
        <f t="shared" si="0"/>
        <v>Weekday</v>
      </c>
      <c r="D24" t="s">
        <v>11</v>
      </c>
      <c r="E24" t="str">
        <f t="shared" si="6"/>
        <v>Tier 1</v>
      </c>
      <c r="F24" t="s">
        <v>12</v>
      </c>
      <c r="G24">
        <v>349043</v>
      </c>
      <c r="H24">
        <v>2313889</v>
      </c>
      <c r="I24">
        <v>65284.4</v>
      </c>
      <c r="J24">
        <v>7197</v>
      </c>
      <c r="K24">
        <v>115</v>
      </c>
      <c r="L24">
        <v>13</v>
      </c>
      <c r="M24">
        <f>IFERROR(Marketing_Data[[#This Row],[leads]]/Marketing_Data[[#This Row],[clicks]],0)</f>
        <v>1.597888008892594E-2</v>
      </c>
      <c r="N24">
        <f>IFERROR(Marketing_Data[[#This Row],[clicks]]/Marketing_Data[[#This Row],[impressions]],0)</f>
        <v>3.1103479898992562E-3</v>
      </c>
      <c r="O24">
        <f>IFERROR(Marketing_Data[[#This Row],[orders]]/Marketing_Data[[#This Row],[leads]],0)</f>
        <v>0.11304347826086956</v>
      </c>
      <c r="P24">
        <f>IFERROR(Marketing_Data[[#This Row],[revenue]]/Marketing_Data[[#This Row],[orders]],0)</f>
        <v>5579</v>
      </c>
      <c r="Q24">
        <f t="shared" si="1"/>
        <v>9.0710573850215361</v>
      </c>
      <c r="R24">
        <f t="shared" si="2"/>
        <v>567.69043478260869</v>
      </c>
      <c r="S24">
        <f t="shared" si="3"/>
        <v>5021.876923076923</v>
      </c>
      <c r="T24">
        <f t="shared" si="4"/>
        <v>7242.5999999999985</v>
      </c>
      <c r="U24">
        <f t="shared" si="5"/>
        <v>0.11093921365594228</v>
      </c>
      <c r="V24">
        <v>72527</v>
      </c>
    </row>
    <row r="25" spans="1:22" x14ac:dyDescent="0.25">
      <c r="A25" s="2">
        <v>24</v>
      </c>
      <c r="B25" s="1">
        <v>44230</v>
      </c>
      <c r="C25" s="1" t="str">
        <f t="shared" si="0"/>
        <v>Weekday</v>
      </c>
      <c r="D25" t="s">
        <v>25</v>
      </c>
      <c r="E25" t="str">
        <f t="shared" si="6"/>
        <v>Tier 2</v>
      </c>
      <c r="F25" t="s">
        <v>12</v>
      </c>
      <c r="G25">
        <v>348934</v>
      </c>
      <c r="H25">
        <v>1105666</v>
      </c>
      <c r="I25">
        <v>78958.3</v>
      </c>
      <c r="J25">
        <v>9898</v>
      </c>
      <c r="K25">
        <v>226</v>
      </c>
      <c r="L25">
        <v>12</v>
      </c>
      <c r="M25">
        <f>IFERROR(Marketing_Data[[#This Row],[leads]]/Marketing_Data[[#This Row],[clicks]],0)</f>
        <v>2.2832895534451406E-2</v>
      </c>
      <c r="N25">
        <f>IFERROR(Marketing_Data[[#This Row],[clicks]]/Marketing_Data[[#This Row],[impressions]],0)</f>
        <v>8.9520705167745046E-3</v>
      </c>
      <c r="O25">
        <f>IFERROR(Marketing_Data[[#This Row],[orders]]/Marketing_Data[[#This Row],[leads]],0)</f>
        <v>5.3097345132743362E-2</v>
      </c>
      <c r="P25">
        <f>IFERROR(Marketing_Data[[#This Row],[revenue]]/Marketing_Data[[#This Row],[orders]],0)</f>
        <v>4981</v>
      </c>
      <c r="Q25">
        <f t="shared" si="1"/>
        <v>7.9771974136189128</v>
      </c>
      <c r="R25">
        <f t="shared" si="2"/>
        <v>349.37300884955755</v>
      </c>
      <c r="S25">
        <f t="shared" si="3"/>
        <v>6579.8583333333336</v>
      </c>
      <c r="T25">
        <f t="shared" si="4"/>
        <v>-19186.300000000003</v>
      </c>
      <c r="U25">
        <f t="shared" si="5"/>
        <v>-0.24299282026082125</v>
      </c>
      <c r="V25">
        <v>59772</v>
      </c>
    </row>
    <row r="26" spans="1:22" x14ac:dyDescent="0.25">
      <c r="A26" s="2">
        <v>25</v>
      </c>
      <c r="B26" s="1">
        <v>44230</v>
      </c>
      <c r="C26" s="1" t="str">
        <f t="shared" si="0"/>
        <v>Weekday</v>
      </c>
      <c r="D26" t="s">
        <v>13</v>
      </c>
      <c r="E26" t="str">
        <f t="shared" si="6"/>
        <v>Other</v>
      </c>
      <c r="F26" t="s">
        <v>14</v>
      </c>
      <c r="G26">
        <v>89459845</v>
      </c>
      <c r="H26">
        <v>134900</v>
      </c>
      <c r="I26">
        <v>77345.5</v>
      </c>
      <c r="J26">
        <v>2698</v>
      </c>
      <c r="K26">
        <v>84</v>
      </c>
      <c r="L26">
        <v>16</v>
      </c>
      <c r="M26">
        <f>IFERROR(Marketing_Data[[#This Row],[leads]]/Marketing_Data[[#This Row],[clicks]],0)</f>
        <v>3.1134173461823574E-2</v>
      </c>
      <c r="N26">
        <f>IFERROR(Marketing_Data[[#This Row],[clicks]]/Marketing_Data[[#This Row],[impressions]],0)</f>
        <v>0.02</v>
      </c>
      <c r="O26">
        <f>IFERROR(Marketing_Data[[#This Row],[orders]]/Marketing_Data[[#This Row],[leads]],0)</f>
        <v>0.19047619047619047</v>
      </c>
      <c r="P26">
        <f>IFERROR(Marketing_Data[[#This Row],[revenue]]/Marketing_Data[[#This Row],[orders]],0)</f>
        <v>7241</v>
      </c>
      <c r="Q26">
        <f t="shared" si="1"/>
        <v>28.667716827279467</v>
      </c>
      <c r="R26">
        <f t="shared" si="2"/>
        <v>920.77976190476193</v>
      </c>
      <c r="S26">
        <f t="shared" si="3"/>
        <v>4834.09375</v>
      </c>
      <c r="T26">
        <f t="shared" si="4"/>
        <v>38510.5</v>
      </c>
      <c r="U26">
        <f t="shared" si="5"/>
        <v>0.49790226968601925</v>
      </c>
      <c r="V26">
        <v>115856</v>
      </c>
    </row>
    <row r="27" spans="1:22" x14ac:dyDescent="0.25">
      <c r="A27" s="2">
        <v>26</v>
      </c>
      <c r="B27" s="1">
        <v>44230</v>
      </c>
      <c r="C27" s="1" t="str">
        <f t="shared" si="0"/>
        <v>Weekday</v>
      </c>
      <c r="D27" t="s">
        <v>15</v>
      </c>
      <c r="E27" t="str">
        <f t="shared" si="6"/>
        <v>Other</v>
      </c>
      <c r="F27" t="s">
        <v>14</v>
      </c>
      <c r="G27">
        <v>127823</v>
      </c>
      <c r="H27">
        <v>4371854</v>
      </c>
      <c r="I27">
        <v>49498.9</v>
      </c>
      <c r="J27">
        <v>7207</v>
      </c>
      <c r="K27">
        <v>144</v>
      </c>
      <c r="L27">
        <v>13</v>
      </c>
      <c r="M27">
        <f>IFERROR(Marketing_Data[[#This Row],[leads]]/Marketing_Data[[#This Row],[clicks]],0)</f>
        <v>1.9980574441515193E-2</v>
      </c>
      <c r="N27">
        <f>IFERROR(Marketing_Data[[#This Row],[clicks]]/Marketing_Data[[#This Row],[impressions]],0)</f>
        <v>1.6484996982973356E-3</v>
      </c>
      <c r="O27">
        <f>IFERROR(Marketing_Data[[#This Row],[orders]]/Marketing_Data[[#This Row],[leads]],0)</f>
        <v>9.0277777777777776E-2</v>
      </c>
      <c r="P27">
        <f>IFERROR(Marketing_Data[[#This Row],[revenue]]/Marketing_Data[[#This Row],[orders]],0)</f>
        <v>2981</v>
      </c>
      <c r="Q27">
        <f t="shared" si="1"/>
        <v>6.8681698348827531</v>
      </c>
      <c r="R27">
        <f t="shared" si="2"/>
        <v>343.74236111111111</v>
      </c>
      <c r="S27">
        <f t="shared" si="3"/>
        <v>3807.6076923076926</v>
      </c>
      <c r="T27">
        <f t="shared" si="4"/>
        <v>-10745.900000000001</v>
      </c>
      <c r="U27">
        <f t="shared" si="5"/>
        <v>-0.21709371319362655</v>
      </c>
      <c r="V27">
        <v>38753</v>
      </c>
    </row>
    <row r="28" spans="1:22" x14ac:dyDescent="0.25">
      <c r="A28" s="2">
        <v>27</v>
      </c>
      <c r="B28" s="1">
        <v>44230</v>
      </c>
      <c r="C28" s="1" t="str">
        <f t="shared" si="0"/>
        <v>Weekday</v>
      </c>
      <c r="D28" t="s">
        <v>16</v>
      </c>
      <c r="E28" t="str">
        <f t="shared" si="6"/>
        <v>Other</v>
      </c>
      <c r="F28" t="s">
        <v>17</v>
      </c>
      <c r="G28">
        <v>10934</v>
      </c>
      <c r="H28">
        <v>1035261</v>
      </c>
      <c r="I28">
        <v>189341</v>
      </c>
      <c r="J28">
        <v>13503</v>
      </c>
      <c r="K28">
        <v>455</v>
      </c>
      <c r="L28">
        <v>91</v>
      </c>
      <c r="M28">
        <f>IFERROR(Marketing_Data[[#This Row],[leads]]/Marketing_Data[[#This Row],[clicks]],0)</f>
        <v>3.3696215655780196E-2</v>
      </c>
      <c r="N28">
        <f>IFERROR(Marketing_Data[[#This Row],[clicks]]/Marketing_Data[[#This Row],[impressions]],0)</f>
        <v>1.3043087685134474E-2</v>
      </c>
      <c r="O28">
        <f>IFERROR(Marketing_Data[[#This Row],[orders]]/Marketing_Data[[#This Row],[leads]],0)</f>
        <v>0.2</v>
      </c>
      <c r="P28">
        <f>IFERROR(Marketing_Data[[#This Row],[revenue]]/Marketing_Data[[#This Row],[orders]],0)</f>
        <v>8489</v>
      </c>
      <c r="Q28">
        <f t="shared" si="1"/>
        <v>14.022143227430941</v>
      </c>
      <c r="R28">
        <f t="shared" si="2"/>
        <v>416.13406593406592</v>
      </c>
      <c r="S28">
        <f t="shared" si="3"/>
        <v>2080.6703296703295</v>
      </c>
      <c r="T28">
        <f t="shared" si="4"/>
        <v>583158</v>
      </c>
      <c r="U28">
        <f t="shared" si="5"/>
        <v>3.0799351434713031</v>
      </c>
      <c r="V28">
        <v>772499</v>
      </c>
    </row>
    <row r="29" spans="1:22" x14ac:dyDescent="0.25">
      <c r="A29" s="2">
        <v>28</v>
      </c>
      <c r="B29" s="1">
        <v>44230</v>
      </c>
      <c r="C29" s="1" t="str">
        <f t="shared" si="0"/>
        <v>Weekday</v>
      </c>
      <c r="D29" t="s">
        <v>18</v>
      </c>
      <c r="E29" t="str">
        <f t="shared" si="6"/>
        <v>Tier 1</v>
      </c>
      <c r="F29" t="s">
        <v>12</v>
      </c>
      <c r="G29">
        <v>9034945</v>
      </c>
      <c r="H29">
        <v>1618600</v>
      </c>
      <c r="I29">
        <v>62509.8</v>
      </c>
      <c r="J29">
        <v>8093</v>
      </c>
      <c r="K29">
        <v>166</v>
      </c>
      <c r="L29">
        <v>15</v>
      </c>
      <c r="M29">
        <f>IFERROR(Marketing_Data[[#This Row],[leads]]/Marketing_Data[[#This Row],[clicks]],0)</f>
        <v>2.0511553194118372E-2</v>
      </c>
      <c r="N29">
        <f>IFERROR(Marketing_Data[[#This Row],[clicks]]/Marketing_Data[[#This Row],[impressions]],0)</f>
        <v>5.0000000000000001E-3</v>
      </c>
      <c r="O29">
        <f>IFERROR(Marketing_Data[[#This Row],[orders]]/Marketing_Data[[#This Row],[leads]],0)</f>
        <v>9.036144578313253E-2</v>
      </c>
      <c r="P29">
        <f>IFERROR(Marketing_Data[[#This Row],[revenue]]/Marketing_Data[[#This Row],[orders]],0)</f>
        <v>5640</v>
      </c>
      <c r="Q29">
        <f t="shared" si="1"/>
        <v>7.7239342641789204</v>
      </c>
      <c r="R29">
        <f t="shared" si="2"/>
        <v>376.56506024096387</v>
      </c>
      <c r="S29">
        <f t="shared" si="3"/>
        <v>4167.3200000000006</v>
      </c>
      <c r="T29">
        <f t="shared" si="4"/>
        <v>22090.199999999997</v>
      </c>
      <c r="U29">
        <f t="shared" si="5"/>
        <v>0.35338778879471694</v>
      </c>
      <c r="V29">
        <v>84600</v>
      </c>
    </row>
    <row r="30" spans="1:22" x14ac:dyDescent="0.25">
      <c r="A30" s="2">
        <v>29</v>
      </c>
      <c r="B30" s="1">
        <v>44230</v>
      </c>
      <c r="C30" s="1" t="str">
        <f t="shared" si="0"/>
        <v>Weekday</v>
      </c>
      <c r="D30" t="s">
        <v>19</v>
      </c>
      <c r="E30" t="str">
        <f t="shared" si="6"/>
        <v>Tier 2</v>
      </c>
      <c r="F30" t="s">
        <v>12</v>
      </c>
      <c r="G30">
        <v>983498</v>
      </c>
      <c r="H30">
        <v>3059600</v>
      </c>
      <c r="I30">
        <v>94399.9</v>
      </c>
      <c r="J30">
        <v>15298</v>
      </c>
      <c r="K30">
        <v>592</v>
      </c>
      <c r="L30">
        <v>36</v>
      </c>
      <c r="M30">
        <f>IFERROR(Marketing_Data[[#This Row],[leads]]/Marketing_Data[[#This Row],[clicks]],0)</f>
        <v>3.8697869002483988E-2</v>
      </c>
      <c r="N30">
        <f>IFERROR(Marketing_Data[[#This Row],[clicks]]/Marketing_Data[[#This Row],[impressions]],0)</f>
        <v>5.0000000000000001E-3</v>
      </c>
      <c r="O30">
        <f>IFERROR(Marketing_Data[[#This Row],[orders]]/Marketing_Data[[#This Row],[leads]],0)</f>
        <v>6.0810810810810814E-2</v>
      </c>
      <c r="P30">
        <f>IFERROR(Marketing_Data[[#This Row],[revenue]]/Marketing_Data[[#This Row],[orders]],0)</f>
        <v>2894</v>
      </c>
      <c r="Q30">
        <f t="shared" si="1"/>
        <v>6.170734736566871</v>
      </c>
      <c r="R30">
        <f t="shared" si="2"/>
        <v>159.45929054054054</v>
      </c>
      <c r="S30">
        <f t="shared" si="3"/>
        <v>2622.2194444444444</v>
      </c>
      <c r="T30">
        <f t="shared" si="4"/>
        <v>9784.1000000000058</v>
      </c>
      <c r="U30">
        <f t="shared" si="5"/>
        <v>0.10364523691232731</v>
      </c>
      <c r="V30">
        <v>104184</v>
      </c>
    </row>
    <row r="31" spans="1:22" x14ac:dyDescent="0.25">
      <c r="A31" s="2">
        <v>30</v>
      </c>
      <c r="B31" s="1">
        <v>44230</v>
      </c>
      <c r="C31" s="1" t="str">
        <f t="shared" si="0"/>
        <v>Weekday</v>
      </c>
      <c r="D31" t="s">
        <v>20</v>
      </c>
      <c r="E31" t="str">
        <f t="shared" si="6"/>
        <v>Other</v>
      </c>
      <c r="F31" t="s">
        <v>12</v>
      </c>
      <c r="G31">
        <v>4387490</v>
      </c>
      <c r="H31">
        <v>29867</v>
      </c>
      <c r="I31">
        <v>5039.51</v>
      </c>
      <c r="J31">
        <v>896</v>
      </c>
      <c r="K31">
        <v>18</v>
      </c>
      <c r="L31">
        <v>4</v>
      </c>
      <c r="M31">
        <f>IFERROR(Marketing_Data[[#This Row],[leads]]/Marketing_Data[[#This Row],[clicks]],0)</f>
        <v>2.0089285714285716E-2</v>
      </c>
      <c r="N31">
        <f>IFERROR(Marketing_Data[[#This Row],[clicks]]/Marketing_Data[[#This Row],[impressions]],0)</f>
        <v>2.9999665182308233E-2</v>
      </c>
      <c r="O31">
        <f>IFERROR(Marketing_Data[[#This Row],[orders]]/Marketing_Data[[#This Row],[leads]],0)</f>
        <v>0.22222222222222221</v>
      </c>
      <c r="P31">
        <f>IFERROR(Marketing_Data[[#This Row],[revenue]]/Marketing_Data[[#This Row],[orders]],0)</f>
        <v>5890</v>
      </c>
      <c r="Q31">
        <f t="shared" si="1"/>
        <v>5.6244531250000005</v>
      </c>
      <c r="R31">
        <f t="shared" si="2"/>
        <v>279.97277777777776</v>
      </c>
      <c r="S31">
        <f t="shared" si="3"/>
        <v>1259.8775000000001</v>
      </c>
      <c r="T31">
        <f t="shared" si="4"/>
        <v>18520.489999999998</v>
      </c>
      <c r="U31">
        <f t="shared" si="5"/>
        <v>3.6750576941012119</v>
      </c>
      <c r="V31">
        <v>23560</v>
      </c>
    </row>
    <row r="32" spans="1:22" x14ac:dyDescent="0.25">
      <c r="A32" s="2">
        <v>31</v>
      </c>
      <c r="B32" s="1">
        <v>44230</v>
      </c>
      <c r="C32" s="1" t="str">
        <f t="shared" si="0"/>
        <v>Weekday</v>
      </c>
      <c r="D32" t="s">
        <v>21</v>
      </c>
      <c r="E32" t="str">
        <f t="shared" si="6"/>
        <v>Other</v>
      </c>
      <c r="F32" t="s">
        <v>12</v>
      </c>
      <c r="G32">
        <v>544756</v>
      </c>
      <c r="H32">
        <v>295009</v>
      </c>
      <c r="I32">
        <v>76716.399999999994</v>
      </c>
      <c r="J32">
        <v>3595</v>
      </c>
      <c r="K32">
        <v>72</v>
      </c>
      <c r="L32">
        <v>9</v>
      </c>
      <c r="M32">
        <f>IFERROR(Marketing_Data[[#This Row],[leads]]/Marketing_Data[[#This Row],[clicks]],0)</f>
        <v>2.0027816411682893E-2</v>
      </c>
      <c r="N32">
        <f>IFERROR(Marketing_Data[[#This Row],[clicks]]/Marketing_Data[[#This Row],[impressions]],0)</f>
        <v>1.2186068899592895E-2</v>
      </c>
      <c r="O32">
        <f>IFERROR(Marketing_Data[[#This Row],[orders]]/Marketing_Data[[#This Row],[leads]],0)</f>
        <v>0.125</v>
      </c>
      <c r="P32">
        <f>IFERROR(Marketing_Data[[#This Row],[revenue]]/Marketing_Data[[#This Row],[orders]],0)</f>
        <v>623</v>
      </c>
      <c r="Q32">
        <f t="shared" si="1"/>
        <v>21.339749652294852</v>
      </c>
      <c r="R32">
        <f t="shared" si="2"/>
        <v>1065.5055555555555</v>
      </c>
      <c r="S32">
        <f t="shared" si="3"/>
        <v>8524.0444444444438</v>
      </c>
      <c r="T32">
        <f t="shared" si="4"/>
        <v>-71109.399999999994</v>
      </c>
      <c r="U32">
        <f t="shared" si="5"/>
        <v>-0.92691262885119741</v>
      </c>
      <c r="V32">
        <v>5607</v>
      </c>
    </row>
    <row r="33" spans="1:22" x14ac:dyDescent="0.25">
      <c r="A33" s="2">
        <v>32</v>
      </c>
      <c r="B33" s="1">
        <v>44230</v>
      </c>
      <c r="C33" s="1" t="str">
        <f t="shared" si="0"/>
        <v>Weekday</v>
      </c>
      <c r="D33" t="s">
        <v>22</v>
      </c>
      <c r="E33" t="str">
        <f t="shared" si="6"/>
        <v>Other</v>
      </c>
      <c r="F33" t="s">
        <v>17</v>
      </c>
      <c r="G33">
        <v>374754</v>
      </c>
      <c r="H33">
        <v>667352</v>
      </c>
      <c r="I33">
        <v>194336</v>
      </c>
      <c r="J33">
        <v>8996</v>
      </c>
      <c r="K33">
        <v>342</v>
      </c>
      <c r="L33">
        <v>51</v>
      </c>
      <c r="M33">
        <f>IFERROR(Marketing_Data[[#This Row],[leads]]/Marketing_Data[[#This Row],[clicks]],0)</f>
        <v>3.8016896398399287E-2</v>
      </c>
      <c r="N33">
        <f>IFERROR(Marketing_Data[[#This Row],[clicks]]/Marketing_Data[[#This Row],[impressions]],0)</f>
        <v>1.3480142413598821E-2</v>
      </c>
      <c r="O33">
        <f>IFERROR(Marketing_Data[[#This Row],[orders]]/Marketing_Data[[#This Row],[leads]],0)</f>
        <v>0.14912280701754385</v>
      </c>
      <c r="P33">
        <f>IFERROR(Marketing_Data[[#This Row],[revenue]]/Marketing_Data[[#This Row],[orders]],0)</f>
        <v>4981</v>
      </c>
      <c r="Q33">
        <f t="shared" si="1"/>
        <v>21.602489995553579</v>
      </c>
      <c r="R33">
        <f t="shared" si="2"/>
        <v>568.23391812865498</v>
      </c>
      <c r="S33">
        <f t="shared" si="3"/>
        <v>3810.5098039215686</v>
      </c>
      <c r="T33">
        <f t="shared" si="4"/>
        <v>59695</v>
      </c>
      <c r="U33">
        <f t="shared" si="5"/>
        <v>0.30717417256710028</v>
      </c>
      <c r="V33">
        <v>254031</v>
      </c>
    </row>
    <row r="34" spans="1:22" x14ac:dyDescent="0.25">
      <c r="A34" s="2">
        <v>33</v>
      </c>
      <c r="B34" s="1">
        <v>44230</v>
      </c>
      <c r="C34" s="1" t="str">
        <f t="shared" si="0"/>
        <v>Weekday</v>
      </c>
      <c r="D34" t="s">
        <v>23</v>
      </c>
      <c r="E34" t="str">
        <f t="shared" si="6"/>
        <v>Other</v>
      </c>
      <c r="F34" t="s">
        <v>24</v>
      </c>
      <c r="G34">
        <v>39889</v>
      </c>
      <c r="H34">
        <v>125910000</v>
      </c>
      <c r="I34">
        <v>29378.3</v>
      </c>
      <c r="J34">
        <v>12591</v>
      </c>
      <c r="K34">
        <v>68</v>
      </c>
      <c r="L34">
        <v>13</v>
      </c>
      <c r="M34">
        <f>IFERROR(Marketing_Data[[#This Row],[leads]]/Marketing_Data[[#This Row],[clicks]],0)</f>
        <v>5.4006830275593679E-3</v>
      </c>
      <c r="N34">
        <f>IFERROR(Marketing_Data[[#This Row],[clicks]]/Marketing_Data[[#This Row],[impressions]],0)</f>
        <v>1E-4</v>
      </c>
      <c r="O34">
        <f>IFERROR(Marketing_Data[[#This Row],[orders]]/Marketing_Data[[#This Row],[leads]],0)</f>
        <v>0.19117647058823528</v>
      </c>
      <c r="P34">
        <f>IFERROR(Marketing_Data[[#This Row],[revenue]]/Marketing_Data[[#This Row],[orders]],0)</f>
        <v>3981</v>
      </c>
      <c r="Q34">
        <f t="shared" si="1"/>
        <v>2.3332777380668732</v>
      </c>
      <c r="R34">
        <f t="shared" si="2"/>
        <v>432.03382352941173</v>
      </c>
      <c r="S34">
        <f t="shared" si="3"/>
        <v>2259.8692307692309</v>
      </c>
      <c r="T34">
        <f t="shared" si="4"/>
        <v>22374.7</v>
      </c>
      <c r="U34">
        <f t="shared" si="5"/>
        <v>0.76160635571152857</v>
      </c>
      <c r="V34">
        <v>51753</v>
      </c>
    </row>
    <row r="35" spans="1:22" x14ac:dyDescent="0.25">
      <c r="A35" s="2">
        <v>34</v>
      </c>
      <c r="B35" s="1">
        <v>44231</v>
      </c>
      <c r="C35" s="1" t="str">
        <f t="shared" si="0"/>
        <v>Weekday</v>
      </c>
      <c r="D35" t="s">
        <v>11</v>
      </c>
      <c r="E35" t="str">
        <f t="shared" si="6"/>
        <v>Tier 1</v>
      </c>
      <c r="F35" t="s">
        <v>12</v>
      </c>
      <c r="G35">
        <v>349043</v>
      </c>
      <c r="H35">
        <v>2475754</v>
      </c>
      <c r="I35">
        <v>173914</v>
      </c>
      <c r="J35">
        <v>9601</v>
      </c>
      <c r="K35">
        <v>192</v>
      </c>
      <c r="L35">
        <v>31</v>
      </c>
      <c r="M35">
        <f>IFERROR(Marketing_Data[[#This Row],[leads]]/Marketing_Data[[#This Row],[clicks]],0)</f>
        <v>1.9997916883657953E-2</v>
      </c>
      <c r="N35">
        <f>IFERROR(Marketing_Data[[#This Row],[clicks]]/Marketing_Data[[#This Row],[impressions]],0)</f>
        <v>3.8780104970041452E-3</v>
      </c>
      <c r="O35">
        <f>IFERROR(Marketing_Data[[#This Row],[orders]]/Marketing_Data[[#This Row],[leads]],0)</f>
        <v>0.16145833333333334</v>
      </c>
      <c r="P35">
        <f>IFERROR(Marketing_Data[[#This Row],[revenue]]/Marketing_Data[[#This Row],[orders]],0)</f>
        <v>4981</v>
      </c>
      <c r="Q35">
        <f t="shared" si="1"/>
        <v>18.114154775544215</v>
      </c>
      <c r="R35">
        <f t="shared" si="2"/>
        <v>905.80208333333337</v>
      </c>
      <c r="S35">
        <f t="shared" si="3"/>
        <v>5610.1290322580644</v>
      </c>
      <c r="T35">
        <f t="shared" si="4"/>
        <v>-19503</v>
      </c>
      <c r="U35">
        <f t="shared" si="5"/>
        <v>-0.11214163322101728</v>
      </c>
      <c r="V35">
        <v>154411</v>
      </c>
    </row>
    <row r="36" spans="1:22" x14ac:dyDescent="0.25">
      <c r="A36" s="2">
        <v>35</v>
      </c>
      <c r="B36" s="1">
        <v>44231</v>
      </c>
      <c r="C36" s="1" t="str">
        <f t="shared" si="0"/>
        <v>Weekday</v>
      </c>
      <c r="D36" t="s">
        <v>25</v>
      </c>
      <c r="E36" t="str">
        <f t="shared" si="6"/>
        <v>Tier 2</v>
      </c>
      <c r="F36" t="s">
        <v>12</v>
      </c>
      <c r="G36">
        <v>348934</v>
      </c>
      <c r="H36">
        <v>4597702</v>
      </c>
      <c r="I36">
        <v>115389</v>
      </c>
      <c r="J36">
        <v>13206</v>
      </c>
      <c r="K36">
        <v>143</v>
      </c>
      <c r="L36">
        <v>17</v>
      </c>
      <c r="M36">
        <f>IFERROR(Marketing_Data[[#This Row],[leads]]/Marketing_Data[[#This Row],[clicks]],0)</f>
        <v>1.0828411328184158E-2</v>
      </c>
      <c r="N36">
        <f>IFERROR(Marketing_Data[[#This Row],[clicks]]/Marketing_Data[[#This Row],[impressions]],0)</f>
        <v>2.8723044686236733E-3</v>
      </c>
      <c r="O36">
        <f>IFERROR(Marketing_Data[[#This Row],[orders]]/Marketing_Data[[#This Row],[leads]],0)</f>
        <v>0.11888111888111888</v>
      </c>
      <c r="P36">
        <f>IFERROR(Marketing_Data[[#This Row],[revenue]]/Marketing_Data[[#This Row],[orders]],0)</f>
        <v>4877</v>
      </c>
      <c r="Q36">
        <f t="shared" si="1"/>
        <v>8.737619263970922</v>
      </c>
      <c r="R36">
        <f t="shared" si="2"/>
        <v>806.91608391608395</v>
      </c>
      <c r="S36">
        <f t="shared" si="3"/>
        <v>6787.588235294118</v>
      </c>
      <c r="T36">
        <f t="shared" si="4"/>
        <v>-32480</v>
      </c>
      <c r="U36">
        <f t="shared" si="5"/>
        <v>-0.28148263699312759</v>
      </c>
      <c r="V36">
        <v>82909</v>
      </c>
    </row>
    <row r="37" spans="1:22" x14ac:dyDescent="0.25">
      <c r="A37" s="2">
        <v>36</v>
      </c>
      <c r="B37" s="1">
        <v>44231</v>
      </c>
      <c r="C37" s="1" t="str">
        <f t="shared" si="0"/>
        <v>Weekday</v>
      </c>
      <c r="D37" t="s">
        <v>13</v>
      </c>
      <c r="E37" t="str">
        <f t="shared" si="6"/>
        <v>Other</v>
      </c>
      <c r="F37" t="s">
        <v>14</v>
      </c>
      <c r="G37">
        <v>89459845</v>
      </c>
      <c r="H37">
        <v>196484</v>
      </c>
      <c r="I37">
        <v>41269.599999999999</v>
      </c>
      <c r="J37">
        <v>3599</v>
      </c>
      <c r="K37">
        <v>55</v>
      </c>
      <c r="L37">
        <v>9</v>
      </c>
      <c r="M37">
        <f>IFERROR(Marketing_Data[[#This Row],[leads]]/Marketing_Data[[#This Row],[clicks]],0)</f>
        <v>1.5282022784106696E-2</v>
      </c>
      <c r="N37">
        <f>IFERROR(Marketing_Data[[#This Row],[clicks]]/Marketing_Data[[#This Row],[impressions]],0)</f>
        <v>1.8317013090124387E-2</v>
      </c>
      <c r="O37">
        <f>IFERROR(Marketing_Data[[#This Row],[orders]]/Marketing_Data[[#This Row],[leads]],0)</f>
        <v>0.16363636363636364</v>
      </c>
      <c r="P37">
        <f>IFERROR(Marketing_Data[[#This Row],[revenue]]/Marketing_Data[[#This Row],[orders]],0)</f>
        <v>7621</v>
      </c>
      <c r="Q37">
        <f t="shared" si="1"/>
        <v>11.466963045290358</v>
      </c>
      <c r="R37">
        <f t="shared" si="2"/>
        <v>750.35636363636365</v>
      </c>
      <c r="S37">
        <f t="shared" si="3"/>
        <v>4585.5111111111109</v>
      </c>
      <c r="T37">
        <f t="shared" si="4"/>
        <v>27319.4</v>
      </c>
      <c r="U37">
        <f t="shared" si="5"/>
        <v>0.66197394692461287</v>
      </c>
      <c r="V37">
        <v>68589</v>
      </c>
    </row>
    <row r="38" spans="1:22" x14ac:dyDescent="0.25">
      <c r="A38" s="2">
        <v>37</v>
      </c>
      <c r="B38" s="1">
        <v>44231</v>
      </c>
      <c r="C38" s="1" t="str">
        <f t="shared" si="0"/>
        <v>Weekday</v>
      </c>
      <c r="D38" t="s">
        <v>15</v>
      </c>
      <c r="E38" t="str">
        <f t="shared" si="6"/>
        <v>Other</v>
      </c>
      <c r="F38" t="s">
        <v>14</v>
      </c>
      <c r="G38">
        <v>127823</v>
      </c>
      <c r="H38">
        <v>1531679</v>
      </c>
      <c r="I38">
        <v>60108.800000000003</v>
      </c>
      <c r="J38">
        <v>9591</v>
      </c>
      <c r="K38">
        <v>234</v>
      </c>
      <c r="L38">
        <v>17</v>
      </c>
      <c r="M38">
        <f>IFERROR(Marketing_Data[[#This Row],[leads]]/Marketing_Data[[#This Row],[clicks]],0)</f>
        <v>2.4397873005943073E-2</v>
      </c>
      <c r="N38">
        <f>IFERROR(Marketing_Data[[#This Row],[clicks]]/Marketing_Data[[#This Row],[impressions]],0)</f>
        <v>6.2617558901049107E-3</v>
      </c>
      <c r="O38">
        <f>IFERROR(Marketing_Data[[#This Row],[orders]]/Marketing_Data[[#This Row],[leads]],0)</f>
        <v>7.2649572649572655E-2</v>
      </c>
      <c r="P38">
        <f>IFERROR(Marketing_Data[[#This Row],[revenue]]/Marketing_Data[[#This Row],[orders]],0)</f>
        <v>3470</v>
      </c>
      <c r="Q38">
        <f t="shared" si="1"/>
        <v>6.267208841622355</v>
      </c>
      <c r="R38">
        <f t="shared" si="2"/>
        <v>256.87521367521367</v>
      </c>
      <c r="S38">
        <f t="shared" si="3"/>
        <v>3535.8117647058825</v>
      </c>
      <c r="T38">
        <f t="shared" si="4"/>
        <v>-1118.8000000000029</v>
      </c>
      <c r="U38">
        <f t="shared" si="5"/>
        <v>-1.8612915247018788E-2</v>
      </c>
      <c r="V38">
        <v>58990</v>
      </c>
    </row>
    <row r="39" spans="1:22" x14ac:dyDescent="0.25">
      <c r="A39" s="2">
        <v>38</v>
      </c>
      <c r="B39" s="1">
        <v>44231</v>
      </c>
      <c r="C39" s="1" t="str">
        <f t="shared" si="0"/>
        <v>Weekday</v>
      </c>
      <c r="D39" t="s">
        <v>16</v>
      </c>
      <c r="E39" t="str">
        <f t="shared" si="6"/>
        <v>Other</v>
      </c>
      <c r="F39" t="s">
        <v>17</v>
      </c>
      <c r="G39">
        <v>10934</v>
      </c>
      <c r="H39">
        <v>2120555</v>
      </c>
      <c r="I39">
        <v>185263</v>
      </c>
      <c r="J39">
        <v>17993</v>
      </c>
      <c r="K39">
        <v>445</v>
      </c>
      <c r="L39">
        <v>89</v>
      </c>
      <c r="M39">
        <f>IFERROR(Marketing_Data[[#This Row],[leads]]/Marketing_Data[[#This Row],[clicks]],0)</f>
        <v>2.4731840160062246E-2</v>
      </c>
      <c r="N39">
        <f>IFERROR(Marketing_Data[[#This Row],[clicks]]/Marketing_Data[[#This Row],[impressions]],0)</f>
        <v>8.4850428307683603E-3</v>
      </c>
      <c r="O39">
        <f>IFERROR(Marketing_Data[[#This Row],[orders]]/Marketing_Data[[#This Row],[leads]],0)</f>
        <v>0.2</v>
      </c>
      <c r="P39">
        <f>IFERROR(Marketing_Data[[#This Row],[revenue]]/Marketing_Data[[#This Row],[orders]],0)</f>
        <v>7022</v>
      </c>
      <c r="Q39">
        <f t="shared" si="1"/>
        <v>10.296393041738455</v>
      </c>
      <c r="R39">
        <f t="shared" si="2"/>
        <v>416.32134831460672</v>
      </c>
      <c r="S39">
        <f t="shared" si="3"/>
        <v>2081.6067415730336</v>
      </c>
      <c r="T39">
        <f t="shared" si="4"/>
        <v>439695</v>
      </c>
      <c r="U39">
        <f t="shared" si="5"/>
        <v>2.3733557159281671</v>
      </c>
      <c r="V39">
        <v>624958</v>
      </c>
    </row>
    <row r="40" spans="1:22" x14ac:dyDescent="0.25">
      <c r="A40" s="2">
        <v>39</v>
      </c>
      <c r="B40" s="1">
        <v>44231</v>
      </c>
      <c r="C40" s="1" t="str">
        <f t="shared" si="0"/>
        <v>Weekday</v>
      </c>
      <c r="D40" t="s">
        <v>18</v>
      </c>
      <c r="E40" t="str">
        <f t="shared" si="6"/>
        <v>Tier 1</v>
      </c>
      <c r="F40" t="s">
        <v>12</v>
      </c>
      <c r="G40">
        <v>9034945</v>
      </c>
      <c r="H40">
        <v>1322751</v>
      </c>
      <c r="I40">
        <v>104028</v>
      </c>
      <c r="J40">
        <v>10794</v>
      </c>
      <c r="K40">
        <v>238</v>
      </c>
      <c r="L40">
        <v>27</v>
      </c>
      <c r="M40">
        <f>IFERROR(Marketing_Data[[#This Row],[leads]]/Marketing_Data[[#This Row],[clicks]],0)</f>
        <v>2.2049286640726331E-2</v>
      </c>
      <c r="N40">
        <f>IFERROR(Marketing_Data[[#This Row],[clicks]]/Marketing_Data[[#This Row],[impressions]],0)</f>
        <v>8.1602659911049012E-3</v>
      </c>
      <c r="O40">
        <f>IFERROR(Marketing_Data[[#This Row],[orders]]/Marketing_Data[[#This Row],[leads]],0)</f>
        <v>0.1134453781512605</v>
      </c>
      <c r="P40">
        <f>IFERROR(Marketing_Data[[#This Row],[revenue]]/Marketing_Data[[#This Row],[orders]],0)</f>
        <v>6631</v>
      </c>
      <c r="Q40">
        <f t="shared" si="1"/>
        <v>9.6375764313507499</v>
      </c>
      <c r="R40">
        <f t="shared" si="2"/>
        <v>437.0924369747899</v>
      </c>
      <c r="S40">
        <f t="shared" si="3"/>
        <v>3852.8888888888887</v>
      </c>
      <c r="T40">
        <f t="shared" si="4"/>
        <v>75009</v>
      </c>
      <c r="U40">
        <f t="shared" si="5"/>
        <v>0.72104625677702161</v>
      </c>
      <c r="V40">
        <v>179037</v>
      </c>
    </row>
    <row r="41" spans="1:22" x14ac:dyDescent="0.25">
      <c r="A41" s="2">
        <v>40</v>
      </c>
      <c r="B41" s="1">
        <v>44231</v>
      </c>
      <c r="C41" s="1" t="str">
        <f t="shared" si="0"/>
        <v>Weekday</v>
      </c>
      <c r="D41" t="s">
        <v>19</v>
      </c>
      <c r="E41" t="str">
        <f t="shared" si="6"/>
        <v>Tier 2</v>
      </c>
      <c r="F41" t="s">
        <v>12</v>
      </c>
      <c r="G41">
        <v>983498</v>
      </c>
      <c r="H41">
        <v>3008227</v>
      </c>
      <c r="I41">
        <v>40119.199999999997</v>
      </c>
      <c r="J41">
        <v>20392</v>
      </c>
      <c r="K41">
        <v>408</v>
      </c>
      <c r="L41">
        <v>12</v>
      </c>
      <c r="M41">
        <f>IFERROR(Marketing_Data[[#This Row],[leads]]/Marketing_Data[[#This Row],[clicks]],0)</f>
        <v>2.0007846214201649E-2</v>
      </c>
      <c r="N41">
        <f>IFERROR(Marketing_Data[[#This Row],[clicks]]/Marketing_Data[[#This Row],[impressions]],0)</f>
        <v>6.7787437583666389E-3</v>
      </c>
      <c r="O41">
        <f>IFERROR(Marketing_Data[[#This Row],[orders]]/Marketing_Data[[#This Row],[leads]],0)</f>
        <v>2.9411764705882353E-2</v>
      </c>
      <c r="P41">
        <f>IFERROR(Marketing_Data[[#This Row],[revenue]]/Marketing_Data[[#This Row],[orders]],0)</f>
        <v>1981</v>
      </c>
      <c r="Q41">
        <f t="shared" si="1"/>
        <v>1.9673989799921536</v>
      </c>
      <c r="R41">
        <f t="shared" si="2"/>
        <v>98.331372549019605</v>
      </c>
      <c r="S41">
        <f t="shared" si="3"/>
        <v>3343.2666666666664</v>
      </c>
      <c r="T41">
        <f t="shared" si="4"/>
        <v>-16347.199999999997</v>
      </c>
      <c r="U41">
        <f t="shared" si="5"/>
        <v>-0.40746575205886454</v>
      </c>
      <c r="V41">
        <v>23772</v>
      </c>
    </row>
    <row r="42" spans="1:22" x14ac:dyDescent="0.25">
      <c r="A42" s="2">
        <v>41</v>
      </c>
      <c r="B42" s="1">
        <v>44231</v>
      </c>
      <c r="C42" s="1" t="str">
        <f t="shared" si="0"/>
        <v>Weekday</v>
      </c>
      <c r="D42" t="s">
        <v>20</v>
      </c>
      <c r="E42" t="str">
        <f t="shared" si="6"/>
        <v>Other</v>
      </c>
      <c r="F42" t="s">
        <v>12</v>
      </c>
      <c r="G42">
        <v>4387490</v>
      </c>
      <c r="H42">
        <v>43160</v>
      </c>
      <c r="I42">
        <v>885.75</v>
      </c>
      <c r="J42">
        <v>1194</v>
      </c>
      <c r="K42">
        <v>4</v>
      </c>
      <c r="L42">
        <v>1</v>
      </c>
      <c r="M42">
        <f>IFERROR(Marketing_Data[[#This Row],[leads]]/Marketing_Data[[#This Row],[clicks]],0)</f>
        <v>3.3500837520938024E-3</v>
      </c>
      <c r="N42">
        <f>IFERROR(Marketing_Data[[#This Row],[clicks]]/Marketing_Data[[#This Row],[impressions]],0)</f>
        <v>2.7664504170528268E-2</v>
      </c>
      <c r="O42">
        <f>IFERROR(Marketing_Data[[#This Row],[orders]]/Marketing_Data[[#This Row],[leads]],0)</f>
        <v>0.25</v>
      </c>
      <c r="P42">
        <f>IFERROR(Marketing_Data[[#This Row],[revenue]]/Marketing_Data[[#This Row],[orders]],0)</f>
        <v>5287</v>
      </c>
      <c r="Q42">
        <f t="shared" si="1"/>
        <v>0.74183417085427139</v>
      </c>
      <c r="R42">
        <f t="shared" si="2"/>
        <v>221.4375</v>
      </c>
      <c r="S42">
        <f t="shared" si="3"/>
        <v>885.75</v>
      </c>
      <c r="T42">
        <f t="shared" si="4"/>
        <v>4401.25</v>
      </c>
      <c r="U42">
        <f t="shared" si="5"/>
        <v>4.9689528648038381</v>
      </c>
      <c r="V42">
        <v>5287</v>
      </c>
    </row>
    <row r="43" spans="1:22" x14ac:dyDescent="0.25">
      <c r="A43" s="2">
        <v>42</v>
      </c>
      <c r="B43" s="1">
        <v>44231</v>
      </c>
      <c r="C43" s="1" t="str">
        <f t="shared" si="0"/>
        <v>Weekday</v>
      </c>
      <c r="D43" t="s">
        <v>21</v>
      </c>
      <c r="E43" t="str">
        <f t="shared" si="6"/>
        <v>Other</v>
      </c>
      <c r="F43" t="s">
        <v>12</v>
      </c>
      <c r="G43">
        <v>544756</v>
      </c>
      <c r="H43">
        <v>432611</v>
      </c>
      <c r="I43">
        <v>120335</v>
      </c>
      <c r="J43">
        <v>4807</v>
      </c>
      <c r="K43">
        <v>71</v>
      </c>
      <c r="L43">
        <v>13</v>
      </c>
      <c r="M43">
        <f>IFERROR(Marketing_Data[[#This Row],[leads]]/Marketing_Data[[#This Row],[clicks]],0)</f>
        <v>1.4770126898273351E-2</v>
      </c>
      <c r="N43">
        <f>IFERROR(Marketing_Data[[#This Row],[clicks]]/Marketing_Data[[#This Row],[impressions]],0)</f>
        <v>1.1111599104044974E-2</v>
      </c>
      <c r="O43">
        <f>IFERROR(Marketing_Data[[#This Row],[orders]]/Marketing_Data[[#This Row],[leads]],0)</f>
        <v>0.18309859154929578</v>
      </c>
      <c r="P43">
        <f>IFERROR(Marketing_Data[[#This Row],[revenue]]/Marketing_Data[[#This Row],[orders]],0)</f>
        <v>528</v>
      </c>
      <c r="Q43">
        <f t="shared" si="1"/>
        <v>25.033284793010193</v>
      </c>
      <c r="R43">
        <f t="shared" si="2"/>
        <v>1694.8591549295775</v>
      </c>
      <c r="S43">
        <f t="shared" si="3"/>
        <v>9256.538461538461</v>
      </c>
      <c r="T43">
        <f t="shared" si="4"/>
        <v>-113471</v>
      </c>
      <c r="U43">
        <f t="shared" si="5"/>
        <v>-0.94295923879170651</v>
      </c>
      <c r="V43">
        <v>6864</v>
      </c>
    </row>
    <row r="44" spans="1:22" x14ac:dyDescent="0.25">
      <c r="A44" s="2">
        <v>43</v>
      </c>
      <c r="B44" s="1">
        <v>44231</v>
      </c>
      <c r="C44" s="1" t="str">
        <f t="shared" si="0"/>
        <v>Weekday</v>
      </c>
      <c r="D44" t="s">
        <v>22</v>
      </c>
      <c r="E44" t="str">
        <f t="shared" si="6"/>
        <v>Other</v>
      </c>
      <c r="F44" t="s">
        <v>17</v>
      </c>
      <c r="G44">
        <v>374754</v>
      </c>
      <c r="H44">
        <v>1199300</v>
      </c>
      <c r="I44">
        <v>149279</v>
      </c>
      <c r="J44">
        <v>11993</v>
      </c>
      <c r="K44">
        <v>267</v>
      </c>
      <c r="L44">
        <v>38</v>
      </c>
      <c r="M44">
        <f>IFERROR(Marketing_Data[[#This Row],[leads]]/Marketing_Data[[#This Row],[clicks]],0)</f>
        <v>2.2262986742266323E-2</v>
      </c>
      <c r="N44">
        <f>IFERROR(Marketing_Data[[#This Row],[clicks]]/Marketing_Data[[#This Row],[impressions]],0)</f>
        <v>0.01</v>
      </c>
      <c r="O44">
        <f>IFERROR(Marketing_Data[[#This Row],[orders]]/Marketing_Data[[#This Row],[leads]],0)</f>
        <v>0.14232209737827714</v>
      </c>
      <c r="P44">
        <f>IFERROR(Marketing_Data[[#This Row],[revenue]]/Marketing_Data[[#This Row],[orders]],0)</f>
        <v>5909</v>
      </c>
      <c r="Q44">
        <f t="shared" si="1"/>
        <v>12.447177520220128</v>
      </c>
      <c r="R44">
        <f t="shared" si="2"/>
        <v>559.09737827715355</v>
      </c>
      <c r="S44">
        <f t="shared" si="3"/>
        <v>3928.3947368421054</v>
      </c>
      <c r="T44">
        <f t="shared" si="4"/>
        <v>75263</v>
      </c>
      <c r="U44">
        <f t="shared" si="5"/>
        <v>0.50417674287743086</v>
      </c>
      <c r="V44">
        <v>224542</v>
      </c>
    </row>
    <row r="45" spans="1:22" x14ac:dyDescent="0.25">
      <c r="A45" s="2">
        <v>44</v>
      </c>
      <c r="B45" s="1">
        <v>44231</v>
      </c>
      <c r="C45" s="1" t="str">
        <f t="shared" si="0"/>
        <v>Weekday</v>
      </c>
      <c r="D45" t="s">
        <v>23</v>
      </c>
      <c r="E45" t="str">
        <f t="shared" si="6"/>
        <v>Other</v>
      </c>
      <c r="F45" t="s">
        <v>24</v>
      </c>
      <c r="G45">
        <v>39889</v>
      </c>
      <c r="H45">
        <v>41924802</v>
      </c>
      <c r="I45">
        <v>177746</v>
      </c>
      <c r="J45">
        <v>16806</v>
      </c>
      <c r="K45">
        <v>336</v>
      </c>
      <c r="L45">
        <v>60</v>
      </c>
      <c r="M45">
        <f>IFERROR(Marketing_Data[[#This Row],[leads]]/Marketing_Data[[#This Row],[clicks]],0)</f>
        <v>1.9992859692966797E-2</v>
      </c>
      <c r="N45">
        <f>IFERROR(Marketing_Data[[#This Row],[clicks]]/Marketing_Data[[#This Row],[impressions]],0)</f>
        <v>4.0086056935939731E-4</v>
      </c>
      <c r="O45">
        <f>IFERROR(Marketing_Data[[#This Row],[orders]]/Marketing_Data[[#This Row],[leads]],0)</f>
        <v>0.17857142857142858</v>
      </c>
      <c r="P45">
        <f>IFERROR(Marketing_Data[[#This Row],[revenue]]/Marketing_Data[[#This Row],[orders]],0)</f>
        <v>3409</v>
      </c>
      <c r="Q45">
        <f t="shared" si="1"/>
        <v>10.576341782696655</v>
      </c>
      <c r="R45">
        <f t="shared" si="2"/>
        <v>529.00595238095241</v>
      </c>
      <c r="S45">
        <f t="shared" si="3"/>
        <v>2962.4333333333334</v>
      </c>
      <c r="T45">
        <f t="shared" si="4"/>
        <v>26794</v>
      </c>
      <c r="U45">
        <f t="shared" si="5"/>
        <v>0.15074319534616812</v>
      </c>
      <c r="V45">
        <v>204540</v>
      </c>
    </row>
    <row r="46" spans="1:22" x14ac:dyDescent="0.25">
      <c r="A46" s="2">
        <v>45</v>
      </c>
      <c r="B46" s="1">
        <v>44232</v>
      </c>
      <c r="C46" s="1" t="str">
        <f t="shared" si="0"/>
        <v>Weekday</v>
      </c>
      <c r="D46" t="s">
        <v>11</v>
      </c>
      <c r="E46" t="str">
        <f t="shared" si="6"/>
        <v>Tier 1</v>
      </c>
      <c r="F46" t="s">
        <v>12</v>
      </c>
      <c r="G46">
        <v>349043</v>
      </c>
      <c r="H46">
        <v>3462883</v>
      </c>
      <c r="I46">
        <v>90691.7</v>
      </c>
      <c r="J46">
        <v>11997</v>
      </c>
      <c r="K46">
        <v>143</v>
      </c>
      <c r="L46">
        <v>17</v>
      </c>
      <c r="M46">
        <f>IFERROR(Marketing_Data[[#This Row],[leads]]/Marketing_Data[[#This Row],[clicks]],0)</f>
        <v>1.1919646578311245E-2</v>
      </c>
      <c r="N46">
        <f>IFERROR(Marketing_Data[[#This Row],[clicks]]/Marketing_Data[[#This Row],[impressions]],0)</f>
        <v>3.4644543289507617E-3</v>
      </c>
      <c r="O46">
        <f>IFERROR(Marketing_Data[[#This Row],[orders]]/Marketing_Data[[#This Row],[leads]],0)</f>
        <v>0.11888111888111888</v>
      </c>
      <c r="P46">
        <f>IFERROR(Marketing_Data[[#This Row],[revenue]]/Marketing_Data[[#This Row],[orders]],0)</f>
        <v>4981</v>
      </c>
      <c r="Q46">
        <f t="shared" si="1"/>
        <v>7.5595315495540554</v>
      </c>
      <c r="R46">
        <f t="shared" si="2"/>
        <v>634.20769230769224</v>
      </c>
      <c r="S46">
        <f t="shared" si="3"/>
        <v>5334.8058823529409</v>
      </c>
      <c r="T46">
        <f t="shared" si="4"/>
        <v>-6014.6999999999971</v>
      </c>
      <c r="U46">
        <f t="shared" si="5"/>
        <v>-6.6320291713574647E-2</v>
      </c>
      <c r="V46">
        <v>84677</v>
      </c>
    </row>
    <row r="47" spans="1:22" x14ac:dyDescent="0.25">
      <c r="A47" s="2">
        <v>46</v>
      </c>
      <c r="B47" s="1">
        <v>44232</v>
      </c>
      <c r="C47" s="1" t="str">
        <f t="shared" si="0"/>
        <v>Weekday</v>
      </c>
      <c r="D47" t="s">
        <v>25</v>
      </c>
      <c r="E47" t="str">
        <f t="shared" si="6"/>
        <v>Tier 2</v>
      </c>
      <c r="F47" t="s">
        <v>12</v>
      </c>
      <c r="G47">
        <v>348934</v>
      </c>
      <c r="H47">
        <v>3299600</v>
      </c>
      <c r="I47">
        <v>261047</v>
      </c>
      <c r="J47">
        <v>16498</v>
      </c>
      <c r="K47">
        <v>330</v>
      </c>
      <c r="L47">
        <v>42</v>
      </c>
      <c r="M47">
        <f>IFERROR(Marketing_Data[[#This Row],[leads]]/Marketing_Data[[#This Row],[clicks]],0)</f>
        <v>2.000242453630743E-2</v>
      </c>
      <c r="N47">
        <f>IFERROR(Marketing_Data[[#This Row],[clicks]]/Marketing_Data[[#This Row],[impressions]],0)</f>
        <v>5.0000000000000001E-3</v>
      </c>
      <c r="O47">
        <f>IFERROR(Marketing_Data[[#This Row],[orders]]/Marketing_Data[[#This Row],[leads]],0)</f>
        <v>0.12727272727272726</v>
      </c>
      <c r="P47">
        <f>IFERROR(Marketing_Data[[#This Row],[revenue]]/Marketing_Data[[#This Row],[orders]],0)</f>
        <v>4981</v>
      </c>
      <c r="Q47">
        <f t="shared" si="1"/>
        <v>15.822948236149836</v>
      </c>
      <c r="R47">
        <f t="shared" si="2"/>
        <v>791.0515151515151</v>
      </c>
      <c r="S47">
        <f t="shared" si="3"/>
        <v>6215.4047619047615</v>
      </c>
      <c r="T47">
        <f t="shared" si="4"/>
        <v>-51845</v>
      </c>
      <c r="U47">
        <f t="shared" si="5"/>
        <v>-0.19860408278968922</v>
      </c>
      <c r="V47">
        <v>209202</v>
      </c>
    </row>
    <row r="48" spans="1:22" x14ac:dyDescent="0.25">
      <c r="A48" s="2">
        <v>47</v>
      </c>
      <c r="B48" s="1">
        <v>44232</v>
      </c>
      <c r="C48" s="1" t="str">
        <f t="shared" si="0"/>
        <v>Weekday</v>
      </c>
      <c r="D48" t="s">
        <v>13</v>
      </c>
      <c r="E48" t="str">
        <f t="shared" si="6"/>
        <v>Other</v>
      </c>
      <c r="F48" t="s">
        <v>14</v>
      </c>
      <c r="G48">
        <v>89459845</v>
      </c>
      <c r="H48">
        <v>236719</v>
      </c>
      <c r="I48">
        <v>96930.6</v>
      </c>
      <c r="J48">
        <v>4504</v>
      </c>
      <c r="K48">
        <v>151</v>
      </c>
      <c r="L48">
        <v>23</v>
      </c>
      <c r="M48">
        <f>IFERROR(Marketing_Data[[#This Row],[leads]]/Marketing_Data[[#This Row],[clicks]],0)</f>
        <v>3.3525754884547072E-2</v>
      </c>
      <c r="N48">
        <f>IFERROR(Marketing_Data[[#This Row],[clicks]]/Marketing_Data[[#This Row],[impressions]],0)</f>
        <v>1.902677858558037E-2</v>
      </c>
      <c r="O48">
        <f>IFERROR(Marketing_Data[[#This Row],[orders]]/Marketing_Data[[#This Row],[leads]],0)</f>
        <v>0.15231788079470199</v>
      </c>
      <c r="P48">
        <f>IFERROR(Marketing_Data[[#This Row],[revenue]]/Marketing_Data[[#This Row],[orders]],0)</f>
        <v>7734</v>
      </c>
      <c r="Q48">
        <f t="shared" si="1"/>
        <v>21.521003552397868</v>
      </c>
      <c r="R48">
        <f t="shared" si="2"/>
        <v>641.92450331125826</v>
      </c>
      <c r="S48">
        <f t="shared" si="3"/>
        <v>4214.3739130434788</v>
      </c>
      <c r="T48">
        <f t="shared" si="4"/>
        <v>80951.399999999994</v>
      </c>
      <c r="U48">
        <f t="shared" si="5"/>
        <v>0.83514803374785662</v>
      </c>
      <c r="V48">
        <v>177882</v>
      </c>
    </row>
    <row r="49" spans="1:22" x14ac:dyDescent="0.25">
      <c r="A49" s="2">
        <v>48</v>
      </c>
      <c r="B49" s="1">
        <v>44232</v>
      </c>
      <c r="C49" s="1" t="str">
        <f t="shared" si="0"/>
        <v>Weekday</v>
      </c>
      <c r="D49" t="s">
        <v>15</v>
      </c>
      <c r="E49" t="str">
        <f t="shared" si="6"/>
        <v>Other</v>
      </c>
      <c r="F49" t="s">
        <v>14</v>
      </c>
      <c r="G49">
        <v>127823</v>
      </c>
      <c r="H49">
        <v>9914040</v>
      </c>
      <c r="I49">
        <v>56875.199999999997</v>
      </c>
      <c r="J49">
        <v>11993</v>
      </c>
      <c r="K49">
        <v>139</v>
      </c>
      <c r="L49">
        <v>14</v>
      </c>
      <c r="M49">
        <f>IFERROR(Marketing_Data[[#This Row],[leads]]/Marketing_Data[[#This Row],[clicks]],0)</f>
        <v>1.1590094221629283E-2</v>
      </c>
      <c r="N49">
        <f>IFERROR(Marketing_Data[[#This Row],[clicks]]/Marketing_Data[[#This Row],[impressions]],0)</f>
        <v>1.2096985688982494E-3</v>
      </c>
      <c r="O49">
        <f>IFERROR(Marketing_Data[[#This Row],[orders]]/Marketing_Data[[#This Row],[leads]],0)</f>
        <v>0.10071942446043165</v>
      </c>
      <c r="P49">
        <f>IFERROR(Marketing_Data[[#This Row],[revenue]]/Marketing_Data[[#This Row],[orders]],0)</f>
        <v>3546</v>
      </c>
      <c r="Q49">
        <f t="shared" si="1"/>
        <v>4.7423663803885594</v>
      </c>
      <c r="R49">
        <f t="shared" si="2"/>
        <v>409.17410071942442</v>
      </c>
      <c r="S49">
        <f t="shared" si="3"/>
        <v>4062.5142857142855</v>
      </c>
      <c r="T49">
        <f t="shared" si="4"/>
        <v>-7231.1999999999971</v>
      </c>
      <c r="U49">
        <f t="shared" si="5"/>
        <v>-0.12714153093088021</v>
      </c>
      <c r="V49">
        <v>49644</v>
      </c>
    </row>
    <row r="50" spans="1:22" x14ac:dyDescent="0.25">
      <c r="A50" s="2">
        <v>49</v>
      </c>
      <c r="B50" s="1">
        <v>44232</v>
      </c>
      <c r="C50" s="1" t="str">
        <f t="shared" si="0"/>
        <v>Weekday</v>
      </c>
      <c r="D50" t="s">
        <v>16</v>
      </c>
      <c r="E50" t="str">
        <f t="shared" si="6"/>
        <v>Other</v>
      </c>
      <c r="F50" t="s">
        <v>17</v>
      </c>
      <c r="G50">
        <v>10934</v>
      </c>
      <c r="H50">
        <v>1965108</v>
      </c>
      <c r="I50">
        <v>442617</v>
      </c>
      <c r="J50">
        <v>22507</v>
      </c>
      <c r="K50">
        <v>731</v>
      </c>
      <c r="L50">
        <v>146</v>
      </c>
      <c r="M50">
        <f>IFERROR(Marketing_Data[[#This Row],[leads]]/Marketing_Data[[#This Row],[clicks]],0)</f>
        <v>3.2478784378193452E-2</v>
      </c>
      <c r="N50">
        <f>IFERROR(Marketing_Data[[#This Row],[clicks]]/Marketing_Data[[#This Row],[impressions]],0)</f>
        <v>1.1453314525206757E-2</v>
      </c>
      <c r="O50">
        <f>IFERROR(Marketing_Data[[#This Row],[orders]]/Marketing_Data[[#This Row],[leads]],0)</f>
        <v>0.19972640218878249</v>
      </c>
      <c r="P50">
        <f>IFERROR(Marketing_Data[[#This Row],[revenue]]/Marketing_Data[[#This Row],[orders]],0)</f>
        <v>7981.0273972602736</v>
      </c>
      <c r="Q50">
        <f t="shared" si="1"/>
        <v>19.665748433820589</v>
      </c>
      <c r="R50">
        <f t="shared" si="2"/>
        <v>605.49521203830375</v>
      </c>
      <c r="S50">
        <f t="shared" si="3"/>
        <v>3031.6232876712329</v>
      </c>
      <c r="T50">
        <f t="shared" si="4"/>
        <v>722613</v>
      </c>
      <c r="U50">
        <f t="shared" si="5"/>
        <v>1.6325920604043676</v>
      </c>
      <c r="V50">
        <v>1165230</v>
      </c>
    </row>
    <row r="51" spans="1:22" x14ac:dyDescent="0.25">
      <c r="A51" s="2">
        <v>50</v>
      </c>
      <c r="B51" s="1">
        <v>44232</v>
      </c>
      <c r="C51" s="1" t="str">
        <f t="shared" si="0"/>
        <v>Weekday</v>
      </c>
      <c r="D51" t="s">
        <v>18</v>
      </c>
      <c r="E51" t="str">
        <f t="shared" si="6"/>
        <v>Tier 1</v>
      </c>
      <c r="F51" t="s">
        <v>12</v>
      </c>
      <c r="G51">
        <v>9034945</v>
      </c>
      <c r="H51">
        <v>7485780</v>
      </c>
      <c r="I51">
        <v>258306</v>
      </c>
      <c r="J51">
        <v>13498</v>
      </c>
      <c r="K51">
        <v>526</v>
      </c>
      <c r="L51">
        <v>76</v>
      </c>
      <c r="M51">
        <f>IFERROR(Marketing_Data[[#This Row],[leads]]/Marketing_Data[[#This Row],[clicks]],0)</f>
        <v>3.8968736109053194E-2</v>
      </c>
      <c r="N51">
        <f>IFERROR(Marketing_Data[[#This Row],[clicks]]/Marketing_Data[[#This Row],[impressions]],0)</f>
        <v>1.8031521097333879E-3</v>
      </c>
      <c r="O51">
        <f>IFERROR(Marketing_Data[[#This Row],[orders]]/Marketing_Data[[#This Row],[leads]],0)</f>
        <v>0.14448669201520911</v>
      </c>
      <c r="P51">
        <f>IFERROR(Marketing_Data[[#This Row],[revenue]]/Marketing_Data[[#This Row],[orders]],0)</f>
        <v>5981</v>
      </c>
      <c r="Q51">
        <f t="shared" si="1"/>
        <v>19.136612831530599</v>
      </c>
      <c r="R51">
        <f t="shared" si="2"/>
        <v>491.0760456273764</v>
      </c>
      <c r="S51">
        <f t="shared" si="3"/>
        <v>3398.7631578947367</v>
      </c>
      <c r="T51">
        <f t="shared" si="4"/>
        <v>196250</v>
      </c>
      <c r="U51">
        <f t="shared" si="5"/>
        <v>0.75975780663244374</v>
      </c>
      <c r="V51">
        <v>454556</v>
      </c>
    </row>
    <row r="52" spans="1:22" x14ac:dyDescent="0.25">
      <c r="A52" s="2">
        <v>51</v>
      </c>
      <c r="B52" s="1">
        <v>44232</v>
      </c>
      <c r="C52" s="1" t="str">
        <f t="shared" si="0"/>
        <v>Weekday</v>
      </c>
      <c r="D52" t="s">
        <v>19</v>
      </c>
      <c r="E52" t="str">
        <f t="shared" si="6"/>
        <v>Tier 2</v>
      </c>
      <c r="F52" t="s">
        <v>12</v>
      </c>
      <c r="G52">
        <v>983498</v>
      </c>
      <c r="H52">
        <v>5100600</v>
      </c>
      <c r="I52">
        <v>13588.8</v>
      </c>
      <c r="J52">
        <v>25503</v>
      </c>
      <c r="K52">
        <v>765</v>
      </c>
      <c r="L52">
        <v>4</v>
      </c>
      <c r="M52">
        <f>IFERROR(Marketing_Data[[#This Row],[leads]]/Marketing_Data[[#This Row],[clicks]],0)</f>
        <v>2.9996471003411362E-2</v>
      </c>
      <c r="N52">
        <f>IFERROR(Marketing_Data[[#This Row],[clicks]]/Marketing_Data[[#This Row],[impressions]],0)</f>
        <v>5.0000000000000001E-3</v>
      </c>
      <c r="O52">
        <f>IFERROR(Marketing_Data[[#This Row],[orders]]/Marketing_Data[[#This Row],[leads]],0)</f>
        <v>5.2287581699346402E-3</v>
      </c>
      <c r="P52">
        <f>IFERROR(Marketing_Data[[#This Row],[revenue]]/Marketing_Data[[#This Row],[orders]],0)</f>
        <v>1981</v>
      </c>
      <c r="Q52">
        <f t="shared" si="1"/>
        <v>0.53283143159628277</v>
      </c>
      <c r="R52">
        <f t="shared" si="2"/>
        <v>17.763137254901959</v>
      </c>
      <c r="S52">
        <f t="shared" si="3"/>
        <v>3397.2</v>
      </c>
      <c r="T52">
        <f t="shared" si="4"/>
        <v>-5664.7999999999993</v>
      </c>
      <c r="U52">
        <f t="shared" si="5"/>
        <v>-0.41687271870952547</v>
      </c>
      <c r="V52">
        <v>7924</v>
      </c>
    </row>
    <row r="53" spans="1:22" x14ac:dyDescent="0.25">
      <c r="A53" s="2">
        <v>52</v>
      </c>
      <c r="B53" s="1">
        <v>44232</v>
      </c>
      <c r="C53" s="1" t="str">
        <f t="shared" si="0"/>
        <v>Weekday</v>
      </c>
      <c r="D53" t="s">
        <v>20</v>
      </c>
      <c r="E53" t="str">
        <f t="shared" si="6"/>
        <v>Other</v>
      </c>
      <c r="F53" t="s">
        <v>12</v>
      </c>
      <c r="G53">
        <v>4387490</v>
      </c>
      <c r="H53">
        <v>48954</v>
      </c>
      <c r="I53">
        <v>6790.74</v>
      </c>
      <c r="J53">
        <v>1505</v>
      </c>
      <c r="K53">
        <v>30</v>
      </c>
      <c r="L53">
        <v>5</v>
      </c>
      <c r="M53">
        <f>IFERROR(Marketing_Data[[#This Row],[leads]]/Marketing_Data[[#This Row],[clicks]],0)</f>
        <v>1.9933554817275746E-2</v>
      </c>
      <c r="N53">
        <f>IFERROR(Marketing_Data[[#This Row],[clicks]]/Marketing_Data[[#This Row],[impressions]],0)</f>
        <v>3.0743146627446174E-2</v>
      </c>
      <c r="O53">
        <f>IFERROR(Marketing_Data[[#This Row],[orders]]/Marketing_Data[[#This Row],[leads]],0)</f>
        <v>0.16666666666666666</v>
      </c>
      <c r="P53">
        <f>IFERROR(Marketing_Data[[#This Row],[revenue]]/Marketing_Data[[#This Row],[orders]],0)</f>
        <v>5412</v>
      </c>
      <c r="Q53">
        <f t="shared" si="1"/>
        <v>4.5121196013289033</v>
      </c>
      <c r="R53">
        <f t="shared" si="2"/>
        <v>226.358</v>
      </c>
      <c r="S53">
        <f t="shared" si="3"/>
        <v>1358.1479999999999</v>
      </c>
      <c r="T53">
        <f t="shared" si="4"/>
        <v>20269.260000000002</v>
      </c>
      <c r="U53">
        <f t="shared" si="5"/>
        <v>2.9848381766935566</v>
      </c>
      <c r="V53">
        <v>27060</v>
      </c>
    </row>
    <row r="54" spans="1:22" x14ac:dyDescent="0.25">
      <c r="A54" s="2">
        <v>53</v>
      </c>
      <c r="B54" s="1">
        <v>44232</v>
      </c>
      <c r="C54" s="1" t="str">
        <f t="shared" si="0"/>
        <v>Weekday</v>
      </c>
      <c r="D54" t="s">
        <v>21</v>
      </c>
      <c r="E54" t="str">
        <f t="shared" si="6"/>
        <v>Other</v>
      </c>
      <c r="F54" t="s">
        <v>12</v>
      </c>
      <c r="G54">
        <v>544756</v>
      </c>
      <c r="H54">
        <v>600400</v>
      </c>
      <c r="I54">
        <v>192789</v>
      </c>
      <c r="J54">
        <v>6004</v>
      </c>
      <c r="K54">
        <v>120</v>
      </c>
      <c r="L54">
        <v>21</v>
      </c>
      <c r="M54">
        <f>IFERROR(Marketing_Data[[#This Row],[leads]]/Marketing_Data[[#This Row],[clicks]],0)</f>
        <v>1.9986675549633577E-2</v>
      </c>
      <c r="N54">
        <f>IFERROR(Marketing_Data[[#This Row],[clicks]]/Marketing_Data[[#This Row],[impressions]],0)</f>
        <v>0.01</v>
      </c>
      <c r="O54">
        <f>IFERROR(Marketing_Data[[#This Row],[orders]]/Marketing_Data[[#This Row],[leads]],0)</f>
        <v>0.17499999999999999</v>
      </c>
      <c r="P54">
        <f>IFERROR(Marketing_Data[[#This Row],[revenue]]/Marketing_Data[[#This Row],[orders]],0)</f>
        <v>452</v>
      </c>
      <c r="Q54">
        <f t="shared" si="1"/>
        <v>32.110093271152564</v>
      </c>
      <c r="R54">
        <f t="shared" si="2"/>
        <v>1606.575</v>
      </c>
      <c r="S54">
        <f t="shared" si="3"/>
        <v>9180.4285714285706</v>
      </c>
      <c r="T54">
        <f t="shared" si="4"/>
        <v>-183297</v>
      </c>
      <c r="U54">
        <f t="shared" si="5"/>
        <v>-0.95076482579400279</v>
      </c>
      <c r="V54">
        <v>9492</v>
      </c>
    </row>
    <row r="55" spans="1:22" x14ac:dyDescent="0.25">
      <c r="A55" s="2">
        <v>54</v>
      </c>
      <c r="B55" s="1">
        <v>44232</v>
      </c>
      <c r="C55" s="1" t="str">
        <f t="shared" si="0"/>
        <v>Weekday</v>
      </c>
      <c r="D55" t="s">
        <v>22</v>
      </c>
      <c r="E55" t="str">
        <f t="shared" si="6"/>
        <v>Other</v>
      </c>
      <c r="F55" t="s">
        <v>17</v>
      </c>
      <c r="G55">
        <v>374754</v>
      </c>
      <c r="H55">
        <v>2153303</v>
      </c>
      <c r="I55">
        <v>36431.699999999997</v>
      </c>
      <c r="J55">
        <v>15003</v>
      </c>
      <c r="K55">
        <v>51</v>
      </c>
      <c r="L55">
        <v>8</v>
      </c>
      <c r="M55">
        <f>IFERROR(Marketing_Data[[#This Row],[leads]]/Marketing_Data[[#This Row],[clicks]],0)</f>
        <v>3.3993201359728054E-3</v>
      </c>
      <c r="N55">
        <f>IFERROR(Marketing_Data[[#This Row],[clicks]]/Marketing_Data[[#This Row],[impressions]],0)</f>
        <v>6.967435609387067E-3</v>
      </c>
      <c r="O55">
        <f>IFERROR(Marketing_Data[[#This Row],[orders]]/Marketing_Data[[#This Row],[leads]],0)</f>
        <v>0.15686274509803921</v>
      </c>
      <c r="P55">
        <f>IFERROR(Marketing_Data[[#This Row],[revenue]]/Marketing_Data[[#This Row],[orders]],0)</f>
        <v>5977</v>
      </c>
      <c r="Q55">
        <f t="shared" si="1"/>
        <v>2.4282943411317737</v>
      </c>
      <c r="R55">
        <f t="shared" si="2"/>
        <v>714.34705882352932</v>
      </c>
      <c r="S55">
        <f t="shared" si="3"/>
        <v>4553.9624999999996</v>
      </c>
      <c r="T55">
        <f t="shared" si="4"/>
        <v>11384.300000000003</v>
      </c>
      <c r="U55">
        <f t="shared" si="5"/>
        <v>0.31248335927228221</v>
      </c>
      <c r="V55">
        <v>47816</v>
      </c>
    </row>
    <row r="56" spans="1:22" x14ac:dyDescent="0.25">
      <c r="A56" s="2">
        <v>55</v>
      </c>
      <c r="B56" s="1">
        <v>44232</v>
      </c>
      <c r="C56" s="1" t="str">
        <f t="shared" si="0"/>
        <v>Weekday</v>
      </c>
      <c r="D56" t="s">
        <v>23</v>
      </c>
      <c r="E56" t="str">
        <f t="shared" si="6"/>
        <v>Other</v>
      </c>
      <c r="F56" t="s">
        <v>24</v>
      </c>
      <c r="G56">
        <v>39889</v>
      </c>
      <c r="H56">
        <v>8238872</v>
      </c>
      <c r="I56">
        <v>427922</v>
      </c>
      <c r="J56">
        <v>20997</v>
      </c>
      <c r="K56">
        <v>796</v>
      </c>
      <c r="L56">
        <v>119</v>
      </c>
      <c r="M56">
        <f>IFERROR(Marketing_Data[[#This Row],[leads]]/Marketing_Data[[#This Row],[clicks]],0)</f>
        <v>3.7910177644425391E-2</v>
      </c>
      <c r="N56">
        <f>IFERROR(Marketing_Data[[#This Row],[clicks]]/Marketing_Data[[#This Row],[impressions]],0)</f>
        <v>2.5485284878803798E-3</v>
      </c>
      <c r="O56">
        <f>IFERROR(Marketing_Data[[#This Row],[orders]]/Marketing_Data[[#This Row],[leads]],0)</f>
        <v>0.14949748743718594</v>
      </c>
      <c r="P56">
        <f>IFERROR(Marketing_Data[[#This Row],[revenue]]/Marketing_Data[[#This Row],[orders]],0)</f>
        <v>3960</v>
      </c>
      <c r="Q56">
        <f t="shared" si="1"/>
        <v>20.380149545173118</v>
      </c>
      <c r="R56">
        <f t="shared" si="2"/>
        <v>537.5904522613065</v>
      </c>
      <c r="S56">
        <f t="shared" si="3"/>
        <v>3595.9831932773109</v>
      </c>
      <c r="T56">
        <f t="shared" si="4"/>
        <v>43318</v>
      </c>
      <c r="U56">
        <f t="shared" si="5"/>
        <v>0.10122872860007198</v>
      </c>
      <c r="V56">
        <v>471240</v>
      </c>
    </row>
    <row r="57" spans="1:22" x14ac:dyDescent="0.25">
      <c r="A57" s="2">
        <v>56</v>
      </c>
      <c r="B57" s="1">
        <v>44233</v>
      </c>
      <c r="C57" s="1" t="str">
        <f t="shared" si="0"/>
        <v>Weekend</v>
      </c>
      <c r="D57" t="s">
        <v>11</v>
      </c>
      <c r="E57" t="str">
        <f t="shared" si="6"/>
        <v>Tier 1</v>
      </c>
      <c r="F57" t="s">
        <v>12</v>
      </c>
      <c r="G57">
        <v>349043</v>
      </c>
      <c r="H57">
        <v>310024</v>
      </c>
      <c r="I57">
        <v>40407.9</v>
      </c>
      <c r="J57">
        <v>2391</v>
      </c>
      <c r="K57">
        <v>76</v>
      </c>
      <c r="L57">
        <v>9</v>
      </c>
      <c r="M57">
        <f>IFERROR(Marketing_Data[[#This Row],[leads]]/Marketing_Data[[#This Row],[clicks]],0)</f>
        <v>3.1785863655374322E-2</v>
      </c>
      <c r="N57">
        <f>IFERROR(Marketing_Data[[#This Row],[clicks]]/Marketing_Data[[#This Row],[impressions]],0)</f>
        <v>7.7123061440404614E-3</v>
      </c>
      <c r="O57">
        <f>IFERROR(Marketing_Data[[#This Row],[orders]]/Marketing_Data[[#This Row],[leads]],0)</f>
        <v>0.11842105263157894</v>
      </c>
      <c r="P57">
        <f>IFERROR(Marketing_Data[[#This Row],[revenue]]/Marketing_Data[[#This Row],[orders]],0)</f>
        <v>5128</v>
      </c>
      <c r="Q57">
        <f t="shared" si="1"/>
        <v>16.900000000000002</v>
      </c>
      <c r="R57">
        <f t="shared" si="2"/>
        <v>531.68289473684217</v>
      </c>
      <c r="S57">
        <f t="shared" si="3"/>
        <v>4489.7666666666664</v>
      </c>
      <c r="T57">
        <f t="shared" si="4"/>
        <v>5744.0999999999985</v>
      </c>
      <c r="U57">
        <f t="shared" si="5"/>
        <v>0.1421528958446244</v>
      </c>
      <c r="V57">
        <v>46152</v>
      </c>
    </row>
    <row r="58" spans="1:22" x14ac:dyDescent="0.25">
      <c r="A58" s="2">
        <v>57</v>
      </c>
      <c r="B58" s="1">
        <v>44233</v>
      </c>
      <c r="C58" s="1" t="str">
        <f t="shared" si="0"/>
        <v>Weekend</v>
      </c>
      <c r="D58" t="s">
        <v>25</v>
      </c>
      <c r="E58" t="str">
        <f t="shared" si="6"/>
        <v>Tier 2</v>
      </c>
      <c r="F58" t="s">
        <v>12</v>
      </c>
      <c r="G58">
        <v>348934</v>
      </c>
      <c r="H58">
        <v>448321</v>
      </c>
      <c r="I58">
        <v>62272.6</v>
      </c>
      <c r="J58">
        <v>3302</v>
      </c>
      <c r="K58">
        <v>108</v>
      </c>
      <c r="L58">
        <v>9</v>
      </c>
      <c r="M58">
        <f>IFERROR(Marketing_Data[[#This Row],[leads]]/Marketing_Data[[#This Row],[clicks]],0)</f>
        <v>3.2707450030284677E-2</v>
      </c>
      <c r="N58">
        <f>IFERROR(Marketing_Data[[#This Row],[clicks]]/Marketing_Data[[#This Row],[impressions]],0)</f>
        <v>7.3652583751374571E-3</v>
      </c>
      <c r="O58">
        <f>IFERROR(Marketing_Data[[#This Row],[orders]]/Marketing_Data[[#This Row],[leads]],0)</f>
        <v>8.3333333333333329E-2</v>
      </c>
      <c r="P58">
        <f>IFERROR(Marketing_Data[[#This Row],[revenue]]/Marketing_Data[[#This Row],[orders]],0)</f>
        <v>4981</v>
      </c>
      <c r="Q58">
        <f t="shared" si="1"/>
        <v>18.859055118110234</v>
      </c>
      <c r="R58">
        <f t="shared" si="2"/>
        <v>576.59814814814808</v>
      </c>
      <c r="S58">
        <f t="shared" si="3"/>
        <v>6919.1777777777779</v>
      </c>
      <c r="T58">
        <f t="shared" si="4"/>
        <v>-17443.599999999999</v>
      </c>
      <c r="U58">
        <f t="shared" si="5"/>
        <v>-0.28011677688100384</v>
      </c>
      <c r="V58">
        <v>44829</v>
      </c>
    </row>
    <row r="59" spans="1:22" x14ac:dyDescent="0.25">
      <c r="A59" s="2">
        <v>58</v>
      </c>
      <c r="B59" s="1">
        <v>44233</v>
      </c>
      <c r="C59" s="1" t="str">
        <f t="shared" si="0"/>
        <v>Weekend</v>
      </c>
      <c r="D59" t="s">
        <v>13</v>
      </c>
      <c r="E59" t="str">
        <f t="shared" si="6"/>
        <v>Other</v>
      </c>
      <c r="F59" t="s">
        <v>14</v>
      </c>
      <c r="G59">
        <v>89459845</v>
      </c>
      <c r="H59">
        <v>44950</v>
      </c>
      <c r="I59">
        <v>6768.87</v>
      </c>
      <c r="J59">
        <v>899</v>
      </c>
      <c r="K59">
        <v>13</v>
      </c>
      <c r="L59">
        <v>1</v>
      </c>
      <c r="M59">
        <f>IFERROR(Marketing_Data[[#This Row],[leads]]/Marketing_Data[[#This Row],[clicks]],0)</f>
        <v>1.4460511679644048E-2</v>
      </c>
      <c r="N59">
        <f>IFERROR(Marketing_Data[[#This Row],[clicks]]/Marketing_Data[[#This Row],[impressions]],0)</f>
        <v>0.02</v>
      </c>
      <c r="O59">
        <f>IFERROR(Marketing_Data[[#This Row],[orders]]/Marketing_Data[[#This Row],[leads]],0)</f>
        <v>7.6923076923076927E-2</v>
      </c>
      <c r="P59">
        <f>IFERROR(Marketing_Data[[#This Row],[revenue]]/Marketing_Data[[#This Row],[orders]],0)</f>
        <v>8136</v>
      </c>
      <c r="Q59">
        <f t="shared" si="1"/>
        <v>7.5293325917686316</v>
      </c>
      <c r="R59">
        <f t="shared" si="2"/>
        <v>520.68230769230763</v>
      </c>
      <c r="S59">
        <f t="shared" si="3"/>
        <v>6768.87</v>
      </c>
      <c r="T59">
        <f t="shared" si="4"/>
        <v>1367.13</v>
      </c>
      <c r="U59">
        <f t="shared" si="5"/>
        <v>0.20197315061450435</v>
      </c>
      <c r="V59">
        <v>8136</v>
      </c>
    </row>
    <row r="60" spans="1:22" x14ac:dyDescent="0.25">
      <c r="A60" s="2">
        <v>59</v>
      </c>
      <c r="B60" s="1">
        <v>44233</v>
      </c>
      <c r="C60" s="1" t="str">
        <f t="shared" si="0"/>
        <v>Weekend</v>
      </c>
      <c r="D60" t="s">
        <v>15</v>
      </c>
      <c r="E60" t="str">
        <f t="shared" si="6"/>
        <v>Other</v>
      </c>
      <c r="F60" t="s">
        <v>14</v>
      </c>
      <c r="G60">
        <v>127823</v>
      </c>
      <c r="H60">
        <v>478400</v>
      </c>
      <c r="I60">
        <v>22542</v>
      </c>
      <c r="J60">
        <v>2392</v>
      </c>
      <c r="K60">
        <v>48</v>
      </c>
      <c r="L60">
        <v>6</v>
      </c>
      <c r="M60">
        <f>IFERROR(Marketing_Data[[#This Row],[leads]]/Marketing_Data[[#This Row],[clicks]],0)</f>
        <v>2.0066889632107024E-2</v>
      </c>
      <c r="N60">
        <f>IFERROR(Marketing_Data[[#This Row],[clicks]]/Marketing_Data[[#This Row],[impressions]],0)</f>
        <v>5.0000000000000001E-3</v>
      </c>
      <c r="O60">
        <f>IFERROR(Marketing_Data[[#This Row],[orders]]/Marketing_Data[[#This Row],[leads]],0)</f>
        <v>0.125</v>
      </c>
      <c r="P60">
        <f>IFERROR(Marketing_Data[[#This Row],[revenue]]/Marketing_Data[[#This Row],[orders]],0)</f>
        <v>2192</v>
      </c>
      <c r="Q60">
        <f t="shared" si="1"/>
        <v>9.4239130434782616</v>
      </c>
      <c r="R60">
        <f t="shared" si="2"/>
        <v>469.625</v>
      </c>
      <c r="S60">
        <f t="shared" si="3"/>
        <v>3757</v>
      </c>
      <c r="T60">
        <f t="shared" si="4"/>
        <v>-9390</v>
      </c>
      <c r="U60">
        <f t="shared" si="5"/>
        <v>-0.41655576257652382</v>
      </c>
      <c r="V60">
        <v>13152</v>
      </c>
    </row>
    <row r="61" spans="1:22" x14ac:dyDescent="0.25">
      <c r="A61" s="2">
        <v>60</v>
      </c>
      <c r="B61" s="1">
        <v>44233</v>
      </c>
      <c r="C61" s="1" t="str">
        <f t="shared" si="0"/>
        <v>Weekend</v>
      </c>
      <c r="D61" t="s">
        <v>16</v>
      </c>
      <c r="E61" t="str">
        <f t="shared" si="6"/>
        <v>Other</v>
      </c>
      <c r="F61" t="s">
        <v>17</v>
      </c>
      <c r="G61">
        <v>10934</v>
      </c>
      <c r="H61">
        <v>472252</v>
      </c>
      <c r="I61">
        <v>80971.399999999994</v>
      </c>
      <c r="J61">
        <v>4508</v>
      </c>
      <c r="K61">
        <v>133</v>
      </c>
      <c r="L61">
        <v>27</v>
      </c>
      <c r="M61">
        <f>IFERROR(Marketing_Data[[#This Row],[leads]]/Marketing_Data[[#This Row],[clicks]],0)</f>
        <v>2.9503105590062112E-2</v>
      </c>
      <c r="N61">
        <f>IFERROR(Marketing_Data[[#This Row],[clicks]]/Marketing_Data[[#This Row],[impressions]],0)</f>
        <v>9.5457509973488723E-3</v>
      </c>
      <c r="O61">
        <f>IFERROR(Marketing_Data[[#This Row],[orders]]/Marketing_Data[[#This Row],[leads]],0)</f>
        <v>0.20300751879699247</v>
      </c>
      <c r="P61">
        <f>IFERROR(Marketing_Data[[#This Row],[revenue]]/Marketing_Data[[#This Row],[orders]],0)</f>
        <v>7981</v>
      </c>
      <c r="Q61">
        <f t="shared" si="1"/>
        <v>17.961712511091392</v>
      </c>
      <c r="R61">
        <f t="shared" si="2"/>
        <v>608.80751879699244</v>
      </c>
      <c r="S61">
        <f t="shared" si="3"/>
        <v>2998.9407407407407</v>
      </c>
      <c r="T61">
        <f t="shared" si="4"/>
        <v>134515.6</v>
      </c>
      <c r="U61">
        <f t="shared" si="5"/>
        <v>1.6612729926863068</v>
      </c>
      <c r="V61">
        <v>215487</v>
      </c>
    </row>
    <row r="62" spans="1:22" x14ac:dyDescent="0.25">
      <c r="A62" s="2">
        <v>61</v>
      </c>
      <c r="B62" s="1">
        <v>44233</v>
      </c>
      <c r="C62" s="1" t="str">
        <f t="shared" si="0"/>
        <v>Weekend</v>
      </c>
      <c r="D62" t="s">
        <v>18</v>
      </c>
      <c r="E62" t="str">
        <f t="shared" si="6"/>
        <v>Tier 1</v>
      </c>
      <c r="F62" t="s">
        <v>12</v>
      </c>
      <c r="G62">
        <v>9034945</v>
      </c>
      <c r="H62">
        <v>425467</v>
      </c>
      <c r="I62">
        <v>3661.53</v>
      </c>
      <c r="J62">
        <v>2695</v>
      </c>
      <c r="K62">
        <v>14</v>
      </c>
      <c r="L62">
        <v>1</v>
      </c>
      <c r="M62">
        <f>IFERROR(Marketing_Data[[#This Row],[leads]]/Marketing_Data[[#This Row],[clicks]],0)</f>
        <v>5.1948051948051948E-3</v>
      </c>
      <c r="N62">
        <f>IFERROR(Marketing_Data[[#This Row],[clicks]]/Marketing_Data[[#This Row],[impressions]],0)</f>
        <v>6.3342162846942301E-3</v>
      </c>
      <c r="O62">
        <f>IFERROR(Marketing_Data[[#This Row],[orders]]/Marketing_Data[[#This Row],[leads]],0)</f>
        <v>7.1428571428571425E-2</v>
      </c>
      <c r="P62">
        <f>IFERROR(Marketing_Data[[#This Row],[revenue]]/Marketing_Data[[#This Row],[orders]],0)</f>
        <v>5958</v>
      </c>
      <c r="Q62">
        <f t="shared" si="1"/>
        <v>1.3586382189239332</v>
      </c>
      <c r="R62">
        <f t="shared" si="2"/>
        <v>261.53785714285715</v>
      </c>
      <c r="S62">
        <f t="shared" si="3"/>
        <v>3661.53</v>
      </c>
      <c r="T62">
        <f t="shared" si="4"/>
        <v>2296.4699999999998</v>
      </c>
      <c r="U62">
        <f t="shared" si="5"/>
        <v>0.62718863425944882</v>
      </c>
      <c r="V62">
        <v>5958</v>
      </c>
    </row>
    <row r="63" spans="1:22" x14ac:dyDescent="0.25">
      <c r="A63" s="2">
        <v>62</v>
      </c>
      <c r="B63" s="1">
        <v>44233</v>
      </c>
      <c r="C63" s="1" t="str">
        <f t="shared" si="0"/>
        <v>Weekend</v>
      </c>
      <c r="D63" t="s">
        <v>19</v>
      </c>
      <c r="E63" t="str">
        <f t="shared" si="6"/>
        <v>Tier 2</v>
      </c>
      <c r="F63" t="s">
        <v>12</v>
      </c>
      <c r="G63">
        <v>983498</v>
      </c>
      <c r="H63">
        <v>1589341</v>
      </c>
      <c r="I63">
        <v>12183.4</v>
      </c>
      <c r="J63">
        <v>5092</v>
      </c>
      <c r="K63">
        <v>102</v>
      </c>
      <c r="L63">
        <v>5</v>
      </c>
      <c r="M63">
        <f>IFERROR(Marketing_Data[[#This Row],[leads]]/Marketing_Data[[#This Row],[clicks]],0)</f>
        <v>2.0031421838177535E-2</v>
      </c>
      <c r="N63">
        <f>IFERROR(Marketing_Data[[#This Row],[clicks]]/Marketing_Data[[#This Row],[impressions]],0)</f>
        <v>3.2038436056201912E-3</v>
      </c>
      <c r="O63">
        <f>IFERROR(Marketing_Data[[#This Row],[orders]]/Marketing_Data[[#This Row],[leads]],0)</f>
        <v>4.9019607843137254E-2</v>
      </c>
      <c r="P63">
        <f>IFERROR(Marketing_Data[[#This Row],[revenue]]/Marketing_Data[[#This Row],[orders]],0)</f>
        <v>2459</v>
      </c>
      <c r="Q63">
        <f t="shared" si="1"/>
        <v>2.3926551453260014</v>
      </c>
      <c r="R63">
        <f t="shared" si="2"/>
        <v>119.44509803921568</v>
      </c>
      <c r="S63">
        <f t="shared" si="3"/>
        <v>2436.6799999999998</v>
      </c>
      <c r="T63">
        <f t="shared" si="4"/>
        <v>111.60000000000036</v>
      </c>
      <c r="U63">
        <f t="shared" si="5"/>
        <v>9.160004596418107E-3</v>
      </c>
      <c r="V63">
        <v>12295</v>
      </c>
    </row>
    <row r="64" spans="1:22" x14ac:dyDescent="0.25">
      <c r="A64" s="2">
        <v>63</v>
      </c>
      <c r="B64" s="1">
        <v>44233</v>
      </c>
      <c r="C64" s="1" t="str">
        <f t="shared" si="0"/>
        <v>Weekend</v>
      </c>
      <c r="D64" t="s">
        <v>20</v>
      </c>
      <c r="E64" t="str">
        <f t="shared" si="6"/>
        <v>Other</v>
      </c>
      <c r="F64" t="s">
        <v>12</v>
      </c>
      <c r="G64">
        <v>4387490</v>
      </c>
      <c r="H64">
        <v>10200</v>
      </c>
      <c r="I64">
        <v>1420.15</v>
      </c>
      <c r="J64">
        <v>306</v>
      </c>
      <c r="K64">
        <v>6</v>
      </c>
      <c r="L64">
        <v>1</v>
      </c>
      <c r="M64">
        <f>IFERROR(Marketing_Data[[#This Row],[leads]]/Marketing_Data[[#This Row],[clicks]],0)</f>
        <v>1.9607843137254902E-2</v>
      </c>
      <c r="N64">
        <f>IFERROR(Marketing_Data[[#This Row],[clicks]]/Marketing_Data[[#This Row],[impressions]],0)</f>
        <v>0.03</v>
      </c>
      <c r="O64">
        <f>IFERROR(Marketing_Data[[#This Row],[orders]]/Marketing_Data[[#This Row],[leads]],0)</f>
        <v>0.16666666666666666</v>
      </c>
      <c r="P64">
        <f>IFERROR(Marketing_Data[[#This Row],[revenue]]/Marketing_Data[[#This Row],[orders]],0)</f>
        <v>5492</v>
      </c>
      <c r="Q64">
        <f t="shared" si="1"/>
        <v>4.6410130718954248</v>
      </c>
      <c r="R64">
        <f t="shared" si="2"/>
        <v>236.69166666666669</v>
      </c>
      <c r="S64">
        <f t="shared" si="3"/>
        <v>1420.15</v>
      </c>
      <c r="T64">
        <f t="shared" si="4"/>
        <v>4071.85</v>
      </c>
      <c r="U64">
        <f t="shared" si="5"/>
        <v>2.8671971270640424</v>
      </c>
      <c r="V64">
        <v>5492</v>
      </c>
    </row>
    <row r="65" spans="1:22" x14ac:dyDescent="0.25">
      <c r="A65" s="2">
        <v>64</v>
      </c>
      <c r="B65" s="1">
        <v>44233</v>
      </c>
      <c r="C65" s="1" t="str">
        <f t="shared" si="0"/>
        <v>Weekend</v>
      </c>
      <c r="D65" t="s">
        <v>21</v>
      </c>
      <c r="E65" t="str">
        <f t="shared" si="6"/>
        <v>Other</v>
      </c>
      <c r="F65" t="s">
        <v>12</v>
      </c>
      <c r="G65">
        <v>544756</v>
      </c>
      <c r="H65">
        <v>119700</v>
      </c>
      <c r="I65">
        <v>29281</v>
      </c>
      <c r="J65">
        <v>1197</v>
      </c>
      <c r="K65">
        <v>24</v>
      </c>
      <c r="L65">
        <v>4</v>
      </c>
      <c r="M65">
        <f>IFERROR(Marketing_Data[[#This Row],[leads]]/Marketing_Data[[#This Row],[clicks]],0)</f>
        <v>2.0050125313283207E-2</v>
      </c>
      <c r="N65">
        <f>IFERROR(Marketing_Data[[#This Row],[clicks]]/Marketing_Data[[#This Row],[impressions]],0)</f>
        <v>0.01</v>
      </c>
      <c r="O65">
        <f>IFERROR(Marketing_Data[[#This Row],[orders]]/Marketing_Data[[#This Row],[leads]],0)</f>
        <v>0.16666666666666666</v>
      </c>
      <c r="P65">
        <f>IFERROR(Marketing_Data[[#This Row],[revenue]]/Marketing_Data[[#This Row],[orders]],0)</f>
        <v>1607</v>
      </c>
      <c r="Q65">
        <f t="shared" si="1"/>
        <v>24.461988304093566</v>
      </c>
      <c r="R65">
        <f t="shared" si="2"/>
        <v>1220.0416666666667</v>
      </c>
      <c r="S65">
        <f t="shared" si="3"/>
        <v>7320.25</v>
      </c>
      <c r="T65">
        <f t="shared" si="4"/>
        <v>-22853</v>
      </c>
      <c r="U65">
        <f t="shared" si="5"/>
        <v>-0.78047197841603766</v>
      </c>
      <c r="V65">
        <v>6428</v>
      </c>
    </row>
    <row r="66" spans="1:22" x14ac:dyDescent="0.25">
      <c r="A66" s="2">
        <v>65</v>
      </c>
      <c r="B66" s="1">
        <v>44233</v>
      </c>
      <c r="C66" s="1" t="str">
        <f t="shared" ref="C66:C129" si="7">IF(WEEKDAY(B66,2)&gt;5,"Weekend","Weekday")</f>
        <v>Weekend</v>
      </c>
      <c r="D66" t="s">
        <v>22</v>
      </c>
      <c r="E66" t="str">
        <f t="shared" ref="E66:E129" si="8">IF(ISNUMBER(SEARCH("tier1",D66)),"Tier 1",IF(ISNUMBER(SEARCH("tier2",D66)),"Tier 2","Other"))</f>
        <v>Other</v>
      </c>
      <c r="F66" t="s">
        <v>17</v>
      </c>
      <c r="G66">
        <v>374754</v>
      </c>
      <c r="H66">
        <v>300700</v>
      </c>
      <c r="I66">
        <v>8289.2099999999991</v>
      </c>
      <c r="J66">
        <v>3007</v>
      </c>
      <c r="K66">
        <v>20</v>
      </c>
      <c r="L66">
        <v>2</v>
      </c>
      <c r="M66">
        <f>IFERROR(Marketing_Data[[#This Row],[leads]]/Marketing_Data[[#This Row],[clicks]],0)</f>
        <v>6.6511473229132027E-3</v>
      </c>
      <c r="N66">
        <f>IFERROR(Marketing_Data[[#This Row],[clicks]]/Marketing_Data[[#This Row],[impressions]],0)</f>
        <v>0.01</v>
      </c>
      <c r="O66">
        <f>IFERROR(Marketing_Data[[#This Row],[orders]]/Marketing_Data[[#This Row],[leads]],0)</f>
        <v>0.1</v>
      </c>
      <c r="P66">
        <f>IFERROR(Marketing_Data[[#This Row],[revenue]]/Marketing_Data[[#This Row],[orders]],0)</f>
        <v>4725</v>
      </c>
      <c r="Q66">
        <f t="shared" ref="Q66:Q129" si="9">IFERROR(I66/J66,0)</f>
        <v>2.7566378450282669</v>
      </c>
      <c r="R66">
        <f t="shared" ref="R66:R129" si="10">IFERROR(I66/K66,0)</f>
        <v>414.46049999999997</v>
      </c>
      <c r="S66">
        <f t="shared" ref="S66:S129" si="11">IFERROR(I66/L66,0)</f>
        <v>4144.6049999999996</v>
      </c>
      <c r="T66">
        <f t="shared" ref="T66:T129" si="12">V66-I66</f>
        <v>1160.7900000000009</v>
      </c>
      <c r="U66">
        <f t="shared" ref="U66:U129" si="13">IFERROR((V66-I66)/I66,0)</f>
        <v>0.14003626401068389</v>
      </c>
      <c r="V66">
        <v>9450</v>
      </c>
    </row>
    <row r="67" spans="1:22" x14ac:dyDescent="0.25">
      <c r="A67" s="2">
        <v>66</v>
      </c>
      <c r="B67" s="1">
        <v>44233</v>
      </c>
      <c r="C67" s="1" t="str">
        <f t="shared" si="7"/>
        <v>Weekend</v>
      </c>
      <c r="D67" t="s">
        <v>23</v>
      </c>
      <c r="E67" t="str">
        <f t="shared" si="8"/>
        <v>Other</v>
      </c>
      <c r="F67" t="s">
        <v>24</v>
      </c>
      <c r="G67">
        <v>39889</v>
      </c>
      <c r="H67">
        <v>42070000</v>
      </c>
      <c r="I67">
        <v>38185.199999999997</v>
      </c>
      <c r="J67">
        <v>4207</v>
      </c>
      <c r="K67">
        <v>84</v>
      </c>
      <c r="L67">
        <v>10</v>
      </c>
      <c r="M67">
        <f>IFERROR(Marketing_Data[[#This Row],[leads]]/Marketing_Data[[#This Row],[clicks]],0)</f>
        <v>1.9966722129783693E-2</v>
      </c>
      <c r="N67">
        <f>IFERROR(Marketing_Data[[#This Row],[clicks]]/Marketing_Data[[#This Row],[impressions]],0)</f>
        <v>1E-4</v>
      </c>
      <c r="O67">
        <f>IFERROR(Marketing_Data[[#This Row],[orders]]/Marketing_Data[[#This Row],[leads]],0)</f>
        <v>0.11904761904761904</v>
      </c>
      <c r="P67">
        <f>IFERROR(Marketing_Data[[#This Row],[revenue]]/Marketing_Data[[#This Row],[orders]],0)</f>
        <v>4882</v>
      </c>
      <c r="Q67">
        <f t="shared" si="9"/>
        <v>9.0765866413120975</v>
      </c>
      <c r="R67">
        <f t="shared" si="10"/>
        <v>454.58571428571423</v>
      </c>
      <c r="S67">
        <f t="shared" si="11"/>
        <v>3818.5199999999995</v>
      </c>
      <c r="T67">
        <f t="shared" si="12"/>
        <v>10634.800000000003</v>
      </c>
      <c r="U67">
        <f t="shared" si="13"/>
        <v>0.27850580853314905</v>
      </c>
      <c r="V67">
        <v>48820</v>
      </c>
    </row>
    <row r="68" spans="1:22" x14ac:dyDescent="0.25">
      <c r="A68" s="2">
        <v>67</v>
      </c>
      <c r="B68" s="1">
        <v>44234</v>
      </c>
      <c r="C68" s="1" t="str">
        <f t="shared" si="7"/>
        <v>Weekend</v>
      </c>
      <c r="D68" t="s">
        <v>11</v>
      </c>
      <c r="E68" t="str">
        <f t="shared" si="8"/>
        <v>Tier 1</v>
      </c>
      <c r="F68" t="s">
        <v>12</v>
      </c>
      <c r="G68">
        <v>349043</v>
      </c>
      <c r="H68">
        <v>478000</v>
      </c>
      <c r="I68">
        <v>27314.400000000001</v>
      </c>
      <c r="J68">
        <v>2390</v>
      </c>
      <c r="K68">
        <v>45</v>
      </c>
      <c r="L68">
        <v>5</v>
      </c>
      <c r="M68">
        <f>IFERROR(Marketing_Data[[#This Row],[leads]]/Marketing_Data[[#This Row],[clicks]],0)</f>
        <v>1.8828451882845189E-2</v>
      </c>
      <c r="N68">
        <f>IFERROR(Marketing_Data[[#This Row],[clicks]]/Marketing_Data[[#This Row],[impressions]],0)</f>
        <v>5.0000000000000001E-3</v>
      </c>
      <c r="O68">
        <f>IFERROR(Marketing_Data[[#This Row],[orders]]/Marketing_Data[[#This Row],[leads]],0)</f>
        <v>0.1111111111111111</v>
      </c>
      <c r="P68">
        <f>IFERROR(Marketing_Data[[#This Row],[revenue]]/Marketing_Data[[#This Row],[orders]],0)</f>
        <v>4981</v>
      </c>
      <c r="Q68">
        <f t="shared" si="9"/>
        <v>11.428619246861926</v>
      </c>
      <c r="R68">
        <f t="shared" si="10"/>
        <v>606.98666666666668</v>
      </c>
      <c r="S68">
        <f t="shared" si="11"/>
        <v>5462.88</v>
      </c>
      <c r="T68">
        <f t="shared" si="12"/>
        <v>-2409.4000000000015</v>
      </c>
      <c r="U68">
        <f t="shared" si="13"/>
        <v>-8.8209881967021106E-2</v>
      </c>
      <c r="V68">
        <v>24905</v>
      </c>
    </row>
    <row r="69" spans="1:22" x14ac:dyDescent="0.25">
      <c r="A69" s="2">
        <v>68</v>
      </c>
      <c r="B69" s="1">
        <v>44234</v>
      </c>
      <c r="C69" s="1" t="str">
        <f t="shared" si="7"/>
        <v>Weekend</v>
      </c>
      <c r="D69" t="s">
        <v>25</v>
      </c>
      <c r="E69" t="str">
        <f t="shared" si="8"/>
        <v>Tier 2</v>
      </c>
      <c r="F69" t="s">
        <v>12</v>
      </c>
      <c r="G69">
        <v>348934</v>
      </c>
      <c r="H69">
        <v>659000</v>
      </c>
      <c r="I69">
        <v>38485.599999999999</v>
      </c>
      <c r="J69">
        <v>3295</v>
      </c>
      <c r="K69">
        <v>66</v>
      </c>
      <c r="L69">
        <v>5</v>
      </c>
      <c r="M69">
        <f>IFERROR(Marketing_Data[[#This Row],[leads]]/Marketing_Data[[#This Row],[clicks]],0)</f>
        <v>2.0030349013657057E-2</v>
      </c>
      <c r="N69">
        <f>IFERROR(Marketing_Data[[#This Row],[clicks]]/Marketing_Data[[#This Row],[impressions]],0)</f>
        <v>5.0000000000000001E-3</v>
      </c>
      <c r="O69">
        <f>IFERROR(Marketing_Data[[#This Row],[orders]]/Marketing_Data[[#This Row],[leads]],0)</f>
        <v>7.575757575757576E-2</v>
      </c>
      <c r="P69">
        <f>IFERROR(Marketing_Data[[#This Row],[revenue]]/Marketing_Data[[#This Row],[orders]],0)</f>
        <v>4747</v>
      </c>
      <c r="Q69">
        <f t="shared" si="9"/>
        <v>11.68</v>
      </c>
      <c r="R69">
        <f t="shared" si="10"/>
        <v>583.11515151515152</v>
      </c>
      <c r="S69">
        <f t="shared" si="11"/>
        <v>7697.12</v>
      </c>
      <c r="T69">
        <f t="shared" si="12"/>
        <v>-14750.599999999999</v>
      </c>
      <c r="U69">
        <f t="shared" si="13"/>
        <v>-0.38327582264535304</v>
      </c>
      <c r="V69">
        <v>23735</v>
      </c>
    </row>
    <row r="70" spans="1:22" x14ac:dyDescent="0.25">
      <c r="A70" s="2">
        <v>69</v>
      </c>
      <c r="B70" s="1">
        <v>44234</v>
      </c>
      <c r="C70" s="1" t="str">
        <f t="shared" si="7"/>
        <v>Weekend</v>
      </c>
      <c r="D70" t="s">
        <v>13</v>
      </c>
      <c r="E70" t="str">
        <f t="shared" si="8"/>
        <v>Other</v>
      </c>
      <c r="F70" t="s">
        <v>14</v>
      </c>
      <c r="G70">
        <v>89459845</v>
      </c>
      <c r="H70">
        <v>44650</v>
      </c>
      <c r="I70">
        <v>6426</v>
      </c>
      <c r="J70">
        <v>893</v>
      </c>
      <c r="K70">
        <v>18</v>
      </c>
      <c r="L70">
        <v>2</v>
      </c>
      <c r="M70">
        <f>IFERROR(Marketing_Data[[#This Row],[leads]]/Marketing_Data[[#This Row],[clicks]],0)</f>
        <v>2.0156774916013438E-2</v>
      </c>
      <c r="N70">
        <f>IFERROR(Marketing_Data[[#This Row],[clicks]]/Marketing_Data[[#This Row],[impressions]],0)</f>
        <v>0.02</v>
      </c>
      <c r="O70">
        <f>IFERROR(Marketing_Data[[#This Row],[orders]]/Marketing_Data[[#This Row],[leads]],0)</f>
        <v>0.1111111111111111</v>
      </c>
      <c r="P70">
        <f>IFERROR(Marketing_Data[[#This Row],[revenue]]/Marketing_Data[[#This Row],[orders]],0)</f>
        <v>7076</v>
      </c>
      <c r="Q70">
        <f t="shared" si="9"/>
        <v>7.195968645016797</v>
      </c>
      <c r="R70">
        <f t="shared" si="10"/>
        <v>357</v>
      </c>
      <c r="S70">
        <f t="shared" si="11"/>
        <v>3213</v>
      </c>
      <c r="T70">
        <f t="shared" si="12"/>
        <v>7726</v>
      </c>
      <c r="U70">
        <f t="shared" si="13"/>
        <v>1.2023031434796141</v>
      </c>
      <c r="V70">
        <v>14152</v>
      </c>
    </row>
    <row r="71" spans="1:22" x14ac:dyDescent="0.25">
      <c r="A71" s="2">
        <v>70</v>
      </c>
      <c r="B71" s="1">
        <v>44234</v>
      </c>
      <c r="C71" s="1" t="str">
        <f t="shared" si="7"/>
        <v>Weekend</v>
      </c>
      <c r="D71" t="s">
        <v>15</v>
      </c>
      <c r="E71" t="str">
        <f t="shared" si="8"/>
        <v>Other</v>
      </c>
      <c r="F71" t="s">
        <v>14</v>
      </c>
      <c r="G71">
        <v>127823</v>
      </c>
      <c r="H71">
        <v>1137473</v>
      </c>
      <c r="I71">
        <v>18102.099999999999</v>
      </c>
      <c r="J71">
        <v>2404</v>
      </c>
      <c r="K71">
        <v>48</v>
      </c>
      <c r="L71">
        <v>5</v>
      </c>
      <c r="M71">
        <f>IFERROR(Marketing_Data[[#This Row],[leads]]/Marketing_Data[[#This Row],[clicks]],0)</f>
        <v>1.9966722129783693E-2</v>
      </c>
      <c r="N71">
        <f>IFERROR(Marketing_Data[[#This Row],[clicks]]/Marketing_Data[[#This Row],[impressions]],0)</f>
        <v>2.1134567589736197E-3</v>
      </c>
      <c r="O71">
        <f>IFERROR(Marketing_Data[[#This Row],[orders]]/Marketing_Data[[#This Row],[leads]],0)</f>
        <v>0.10416666666666667</v>
      </c>
      <c r="P71">
        <f>IFERROR(Marketing_Data[[#This Row],[revenue]]/Marketing_Data[[#This Row],[orders]],0)</f>
        <v>3569</v>
      </c>
      <c r="Q71">
        <f t="shared" si="9"/>
        <v>7.5299916805324454</v>
      </c>
      <c r="R71">
        <f t="shared" si="10"/>
        <v>377.1270833333333</v>
      </c>
      <c r="S71">
        <f t="shared" si="11"/>
        <v>3620.4199999999996</v>
      </c>
      <c r="T71">
        <f t="shared" si="12"/>
        <v>-257.09999999999854</v>
      </c>
      <c r="U71">
        <f t="shared" si="13"/>
        <v>-1.4202772054070995E-2</v>
      </c>
      <c r="V71">
        <v>17845</v>
      </c>
    </row>
    <row r="72" spans="1:22" x14ac:dyDescent="0.25">
      <c r="A72" s="2">
        <v>71</v>
      </c>
      <c r="B72" s="1">
        <v>44234</v>
      </c>
      <c r="C72" s="1" t="str">
        <f t="shared" si="7"/>
        <v>Weekend</v>
      </c>
      <c r="D72" t="s">
        <v>16</v>
      </c>
      <c r="E72" t="str">
        <f t="shared" si="8"/>
        <v>Other</v>
      </c>
      <c r="F72" t="s">
        <v>17</v>
      </c>
      <c r="G72">
        <v>10934</v>
      </c>
      <c r="H72">
        <v>694624</v>
      </c>
      <c r="I72">
        <v>31680.1</v>
      </c>
      <c r="J72">
        <v>4505</v>
      </c>
      <c r="K72">
        <v>82</v>
      </c>
      <c r="L72">
        <v>15</v>
      </c>
      <c r="M72">
        <f>IFERROR(Marketing_Data[[#This Row],[leads]]/Marketing_Data[[#This Row],[clicks]],0)</f>
        <v>1.8201997780244172E-2</v>
      </c>
      <c r="N72">
        <f>IFERROR(Marketing_Data[[#This Row],[clicks]]/Marketing_Data[[#This Row],[impressions]],0)</f>
        <v>6.4855231031464506E-3</v>
      </c>
      <c r="O72">
        <f>IFERROR(Marketing_Data[[#This Row],[orders]]/Marketing_Data[[#This Row],[leads]],0)</f>
        <v>0.18292682926829268</v>
      </c>
      <c r="P72">
        <f>IFERROR(Marketing_Data[[#This Row],[revenue]]/Marketing_Data[[#This Row],[orders]],0)</f>
        <v>7981</v>
      </c>
      <c r="Q72">
        <f t="shared" si="9"/>
        <v>7.0322086570477245</v>
      </c>
      <c r="R72">
        <f t="shared" si="10"/>
        <v>386.34268292682924</v>
      </c>
      <c r="S72">
        <f t="shared" si="11"/>
        <v>2112.0066666666667</v>
      </c>
      <c r="T72">
        <f t="shared" si="12"/>
        <v>88034.9</v>
      </c>
      <c r="U72">
        <f t="shared" si="13"/>
        <v>2.7788706475042693</v>
      </c>
      <c r="V72">
        <v>119715</v>
      </c>
    </row>
    <row r="73" spans="1:22" x14ac:dyDescent="0.25">
      <c r="A73" s="2">
        <v>72</v>
      </c>
      <c r="B73" s="1">
        <v>44234</v>
      </c>
      <c r="C73" s="1" t="str">
        <f t="shared" si="7"/>
        <v>Weekend</v>
      </c>
      <c r="D73" t="s">
        <v>18</v>
      </c>
      <c r="E73" t="str">
        <f t="shared" si="8"/>
        <v>Tier 1</v>
      </c>
      <c r="F73" t="s">
        <v>12</v>
      </c>
      <c r="G73">
        <v>9034945</v>
      </c>
      <c r="H73">
        <v>1246126</v>
      </c>
      <c r="I73">
        <v>37965.9</v>
      </c>
      <c r="J73">
        <v>2696</v>
      </c>
      <c r="K73">
        <v>100</v>
      </c>
      <c r="L73">
        <v>11</v>
      </c>
      <c r="M73">
        <f>IFERROR(Marketing_Data[[#This Row],[leads]]/Marketing_Data[[#This Row],[clicks]],0)</f>
        <v>3.7091988130563795E-2</v>
      </c>
      <c r="N73">
        <f>IFERROR(Marketing_Data[[#This Row],[clicks]]/Marketing_Data[[#This Row],[impressions]],0)</f>
        <v>2.1635051351147475E-3</v>
      </c>
      <c r="O73">
        <f>IFERROR(Marketing_Data[[#This Row],[orders]]/Marketing_Data[[#This Row],[leads]],0)</f>
        <v>0.11</v>
      </c>
      <c r="P73">
        <f>IFERROR(Marketing_Data[[#This Row],[revenue]]/Marketing_Data[[#This Row],[orders]],0)</f>
        <v>5981</v>
      </c>
      <c r="Q73">
        <f t="shared" si="9"/>
        <v>14.082307121661721</v>
      </c>
      <c r="R73">
        <f t="shared" si="10"/>
        <v>379.65899999999999</v>
      </c>
      <c r="S73">
        <f t="shared" si="11"/>
        <v>3451.4454545454546</v>
      </c>
      <c r="T73">
        <f t="shared" si="12"/>
        <v>27825.1</v>
      </c>
      <c r="U73">
        <f t="shared" si="13"/>
        <v>0.73289715244469378</v>
      </c>
      <c r="V73">
        <v>65791</v>
      </c>
    </row>
    <row r="74" spans="1:22" x14ac:dyDescent="0.25">
      <c r="A74" s="2">
        <v>73</v>
      </c>
      <c r="B74" s="1">
        <v>44234</v>
      </c>
      <c r="C74" s="1" t="str">
        <f t="shared" si="7"/>
        <v>Weekend</v>
      </c>
      <c r="D74" t="s">
        <v>19</v>
      </c>
      <c r="E74" t="str">
        <f t="shared" si="8"/>
        <v>Tier 2</v>
      </c>
      <c r="F74" t="s">
        <v>12</v>
      </c>
      <c r="G74">
        <v>983498</v>
      </c>
      <c r="H74">
        <v>567096</v>
      </c>
      <c r="I74">
        <v>6747.94</v>
      </c>
      <c r="J74">
        <v>5103</v>
      </c>
      <c r="K74">
        <v>199</v>
      </c>
      <c r="L74">
        <v>2</v>
      </c>
      <c r="M74">
        <f>IFERROR(Marketing_Data[[#This Row],[leads]]/Marketing_Data[[#This Row],[clicks]],0)</f>
        <v>3.8996668626298255E-2</v>
      </c>
      <c r="N74">
        <f>IFERROR(Marketing_Data[[#This Row],[clicks]]/Marketing_Data[[#This Row],[impressions]],0)</f>
        <v>8.9984764484320121E-3</v>
      </c>
      <c r="O74">
        <f>IFERROR(Marketing_Data[[#This Row],[orders]]/Marketing_Data[[#This Row],[leads]],0)</f>
        <v>1.0050251256281407E-2</v>
      </c>
      <c r="P74">
        <f>IFERROR(Marketing_Data[[#This Row],[revenue]]/Marketing_Data[[#This Row],[orders]],0)</f>
        <v>1981</v>
      </c>
      <c r="Q74">
        <f t="shared" si="9"/>
        <v>1.3223476386439348</v>
      </c>
      <c r="R74">
        <f t="shared" si="10"/>
        <v>33.909246231155777</v>
      </c>
      <c r="S74">
        <f t="shared" si="11"/>
        <v>3373.97</v>
      </c>
      <c r="T74">
        <f t="shared" si="12"/>
        <v>-2785.9399999999996</v>
      </c>
      <c r="U74">
        <f t="shared" si="13"/>
        <v>-0.41285784995124436</v>
      </c>
      <c r="V74">
        <v>3962</v>
      </c>
    </row>
    <row r="75" spans="1:22" x14ac:dyDescent="0.25">
      <c r="A75" s="2">
        <v>74</v>
      </c>
      <c r="B75" s="1">
        <v>44234</v>
      </c>
      <c r="C75" s="1" t="str">
        <f t="shared" si="7"/>
        <v>Weekend</v>
      </c>
      <c r="D75" t="s">
        <v>20</v>
      </c>
      <c r="E75" t="str">
        <f t="shared" si="8"/>
        <v>Other</v>
      </c>
      <c r="F75" t="s">
        <v>12</v>
      </c>
      <c r="G75">
        <v>4387490</v>
      </c>
      <c r="H75">
        <v>9938</v>
      </c>
      <c r="I75">
        <v>3435.44</v>
      </c>
      <c r="J75">
        <v>294</v>
      </c>
      <c r="K75">
        <v>6</v>
      </c>
      <c r="L75">
        <v>1</v>
      </c>
      <c r="M75">
        <f>IFERROR(Marketing_Data[[#This Row],[leads]]/Marketing_Data[[#This Row],[clicks]],0)</f>
        <v>2.0408163265306121E-2</v>
      </c>
      <c r="N75">
        <f>IFERROR(Marketing_Data[[#This Row],[clicks]]/Marketing_Data[[#This Row],[impressions]],0)</f>
        <v>2.9583417186556653E-2</v>
      </c>
      <c r="O75">
        <f>IFERROR(Marketing_Data[[#This Row],[orders]]/Marketing_Data[[#This Row],[leads]],0)</f>
        <v>0.16666666666666666</v>
      </c>
      <c r="P75">
        <f>IFERROR(Marketing_Data[[#This Row],[revenue]]/Marketing_Data[[#This Row],[orders]],0)</f>
        <v>4981</v>
      </c>
      <c r="Q75">
        <f t="shared" si="9"/>
        <v>11.685170068027212</v>
      </c>
      <c r="R75">
        <f t="shared" si="10"/>
        <v>572.57333333333338</v>
      </c>
      <c r="S75">
        <f t="shared" si="11"/>
        <v>3435.44</v>
      </c>
      <c r="T75">
        <f t="shared" si="12"/>
        <v>1545.56</v>
      </c>
      <c r="U75">
        <f t="shared" si="13"/>
        <v>0.44988705959062009</v>
      </c>
      <c r="V75">
        <v>4981</v>
      </c>
    </row>
    <row r="76" spans="1:22" x14ac:dyDescent="0.25">
      <c r="A76" s="2">
        <v>75</v>
      </c>
      <c r="B76" s="1">
        <v>44234</v>
      </c>
      <c r="C76" s="1" t="str">
        <f t="shared" si="7"/>
        <v>Weekend</v>
      </c>
      <c r="D76" t="s">
        <v>21</v>
      </c>
      <c r="E76" t="str">
        <f t="shared" si="8"/>
        <v>Other</v>
      </c>
      <c r="F76" t="s">
        <v>12</v>
      </c>
      <c r="G76">
        <v>544756</v>
      </c>
      <c r="H76">
        <v>174221</v>
      </c>
      <c r="I76">
        <v>10104.9</v>
      </c>
      <c r="J76">
        <v>1197</v>
      </c>
      <c r="K76">
        <v>6</v>
      </c>
      <c r="L76">
        <v>1</v>
      </c>
      <c r="M76">
        <f>IFERROR(Marketing_Data[[#This Row],[leads]]/Marketing_Data[[#This Row],[clicks]],0)</f>
        <v>5.0125313283208017E-3</v>
      </c>
      <c r="N76">
        <f>IFERROR(Marketing_Data[[#This Row],[clicks]]/Marketing_Data[[#This Row],[impressions]],0)</f>
        <v>6.8705839135351074E-3</v>
      </c>
      <c r="O76">
        <f>IFERROR(Marketing_Data[[#This Row],[orders]]/Marketing_Data[[#This Row],[leads]],0)</f>
        <v>0.16666666666666666</v>
      </c>
      <c r="P76">
        <f>IFERROR(Marketing_Data[[#This Row],[revenue]]/Marketing_Data[[#This Row],[orders]],0)</f>
        <v>981</v>
      </c>
      <c r="Q76">
        <f t="shared" si="9"/>
        <v>8.4418546365914793</v>
      </c>
      <c r="R76">
        <f t="shared" si="10"/>
        <v>1684.1499999999999</v>
      </c>
      <c r="S76">
        <f t="shared" si="11"/>
        <v>10104.9</v>
      </c>
      <c r="T76">
        <f t="shared" si="12"/>
        <v>-9123.9</v>
      </c>
      <c r="U76">
        <f t="shared" si="13"/>
        <v>-0.90291838612950148</v>
      </c>
      <c r="V76">
        <v>981</v>
      </c>
    </row>
    <row r="77" spans="1:22" x14ac:dyDescent="0.25">
      <c r="A77" s="2">
        <v>76</v>
      </c>
      <c r="B77" s="1">
        <v>44234</v>
      </c>
      <c r="C77" s="1" t="str">
        <f t="shared" si="7"/>
        <v>Weekend</v>
      </c>
      <c r="D77" t="s">
        <v>22</v>
      </c>
      <c r="E77" t="str">
        <f t="shared" si="8"/>
        <v>Other</v>
      </c>
      <c r="F77" t="s">
        <v>17</v>
      </c>
      <c r="G77">
        <v>374754</v>
      </c>
      <c r="H77">
        <v>300700</v>
      </c>
      <c r="I77">
        <v>46167.6</v>
      </c>
      <c r="J77">
        <v>3007</v>
      </c>
      <c r="K77">
        <v>93</v>
      </c>
      <c r="L77">
        <v>12</v>
      </c>
      <c r="M77">
        <f>IFERROR(Marketing_Data[[#This Row],[leads]]/Marketing_Data[[#This Row],[clicks]],0)</f>
        <v>3.0927835051546393E-2</v>
      </c>
      <c r="N77">
        <f>IFERROR(Marketing_Data[[#This Row],[clicks]]/Marketing_Data[[#This Row],[impressions]],0)</f>
        <v>0.01</v>
      </c>
      <c r="O77">
        <f>IFERROR(Marketing_Data[[#This Row],[orders]]/Marketing_Data[[#This Row],[leads]],0)</f>
        <v>0.12903225806451613</v>
      </c>
      <c r="P77">
        <f>IFERROR(Marketing_Data[[#This Row],[revenue]]/Marketing_Data[[#This Row],[orders]],0)</f>
        <v>5673</v>
      </c>
      <c r="Q77">
        <f t="shared" si="9"/>
        <v>15.353375457266377</v>
      </c>
      <c r="R77">
        <f t="shared" si="10"/>
        <v>496.42580645161291</v>
      </c>
      <c r="S77">
        <f t="shared" si="11"/>
        <v>3847.2999999999997</v>
      </c>
      <c r="T77">
        <f t="shared" si="12"/>
        <v>21908.400000000001</v>
      </c>
      <c r="U77">
        <f t="shared" si="13"/>
        <v>0.47454058690510231</v>
      </c>
      <c r="V77">
        <v>68076</v>
      </c>
    </row>
    <row r="78" spans="1:22" x14ac:dyDescent="0.25">
      <c r="A78" s="2">
        <v>77</v>
      </c>
      <c r="B78" s="1">
        <v>44234</v>
      </c>
      <c r="C78" s="1" t="str">
        <f t="shared" si="7"/>
        <v>Weekend</v>
      </c>
      <c r="D78" t="s">
        <v>23</v>
      </c>
      <c r="E78" t="str">
        <f t="shared" si="8"/>
        <v>Other</v>
      </c>
      <c r="F78" t="s">
        <v>24</v>
      </c>
      <c r="G78">
        <v>39889</v>
      </c>
      <c r="H78">
        <v>3957603</v>
      </c>
      <c r="I78">
        <v>79987.7</v>
      </c>
      <c r="J78">
        <v>4203</v>
      </c>
      <c r="K78">
        <v>142</v>
      </c>
      <c r="L78">
        <v>27</v>
      </c>
      <c r="M78">
        <f>IFERROR(Marketing_Data[[#This Row],[leads]]/Marketing_Data[[#This Row],[clicks]],0)</f>
        <v>3.3785391387104451E-2</v>
      </c>
      <c r="N78">
        <f>IFERROR(Marketing_Data[[#This Row],[clicks]]/Marketing_Data[[#This Row],[impressions]],0)</f>
        <v>1.0620064720993996E-3</v>
      </c>
      <c r="O78">
        <f>IFERROR(Marketing_Data[[#This Row],[orders]]/Marketing_Data[[#This Row],[leads]],0)</f>
        <v>0.19014084507042253</v>
      </c>
      <c r="P78">
        <f>IFERROR(Marketing_Data[[#This Row],[revenue]]/Marketing_Data[[#This Row],[orders]],0)</f>
        <v>3352</v>
      </c>
      <c r="Q78">
        <f t="shared" si="9"/>
        <v>19.031096835593623</v>
      </c>
      <c r="R78">
        <f t="shared" si="10"/>
        <v>563.29366197183094</v>
      </c>
      <c r="S78">
        <f t="shared" si="11"/>
        <v>2962.5074074074073</v>
      </c>
      <c r="T78">
        <f t="shared" si="12"/>
        <v>10516.300000000003</v>
      </c>
      <c r="U78">
        <f t="shared" si="13"/>
        <v>0.13147396412198378</v>
      </c>
      <c r="V78">
        <v>90504</v>
      </c>
    </row>
    <row r="79" spans="1:22" x14ac:dyDescent="0.25">
      <c r="A79" s="2">
        <v>78</v>
      </c>
      <c r="B79" s="1">
        <v>44235</v>
      </c>
      <c r="C79" s="1" t="str">
        <f t="shared" si="7"/>
        <v>Weekday</v>
      </c>
      <c r="D79" t="s">
        <v>11</v>
      </c>
      <c r="E79" t="str">
        <f t="shared" si="8"/>
        <v>Tier 1</v>
      </c>
      <c r="F79" t="s">
        <v>12</v>
      </c>
      <c r="G79">
        <v>349043</v>
      </c>
      <c r="H79">
        <v>479000</v>
      </c>
      <c r="I79">
        <v>27210.400000000001</v>
      </c>
      <c r="J79">
        <v>2395</v>
      </c>
      <c r="K79">
        <v>36</v>
      </c>
      <c r="L79">
        <v>5</v>
      </c>
      <c r="M79">
        <f>IFERROR(Marketing_Data[[#This Row],[leads]]/Marketing_Data[[#This Row],[clicks]],0)</f>
        <v>1.5031315240083507E-2</v>
      </c>
      <c r="N79">
        <f>IFERROR(Marketing_Data[[#This Row],[clicks]]/Marketing_Data[[#This Row],[impressions]],0)</f>
        <v>5.0000000000000001E-3</v>
      </c>
      <c r="O79">
        <f>IFERROR(Marketing_Data[[#This Row],[orders]]/Marketing_Data[[#This Row],[leads]],0)</f>
        <v>0.1388888888888889</v>
      </c>
      <c r="P79">
        <f>IFERROR(Marketing_Data[[#This Row],[revenue]]/Marketing_Data[[#This Row],[orders]],0)</f>
        <v>4469</v>
      </c>
      <c r="Q79">
        <f t="shared" si="9"/>
        <v>11.36133611691023</v>
      </c>
      <c r="R79">
        <f t="shared" si="10"/>
        <v>755.84444444444443</v>
      </c>
      <c r="S79">
        <f t="shared" si="11"/>
        <v>5442.08</v>
      </c>
      <c r="T79">
        <f t="shared" si="12"/>
        <v>-4865.4000000000015</v>
      </c>
      <c r="U79">
        <f t="shared" si="13"/>
        <v>-0.17880663275806313</v>
      </c>
      <c r="V79">
        <v>22345</v>
      </c>
    </row>
    <row r="80" spans="1:22" x14ac:dyDescent="0.25">
      <c r="A80" s="2">
        <v>79</v>
      </c>
      <c r="B80" s="1">
        <v>44235</v>
      </c>
      <c r="C80" s="1" t="str">
        <f t="shared" si="7"/>
        <v>Weekday</v>
      </c>
      <c r="D80" t="s">
        <v>25</v>
      </c>
      <c r="E80" t="str">
        <f t="shared" si="8"/>
        <v>Tier 2</v>
      </c>
      <c r="F80" t="s">
        <v>12</v>
      </c>
      <c r="G80">
        <v>348934</v>
      </c>
      <c r="H80">
        <v>472656</v>
      </c>
      <c r="I80">
        <v>33752.800000000003</v>
      </c>
      <c r="J80">
        <v>3290</v>
      </c>
      <c r="K80">
        <v>66</v>
      </c>
      <c r="L80">
        <v>5</v>
      </c>
      <c r="M80">
        <f>IFERROR(Marketing_Data[[#This Row],[leads]]/Marketing_Data[[#This Row],[clicks]],0)</f>
        <v>2.0060790273556232E-2</v>
      </c>
      <c r="N80">
        <f>IFERROR(Marketing_Data[[#This Row],[clicks]]/Marketing_Data[[#This Row],[impressions]],0)</f>
        <v>6.9606648386987572E-3</v>
      </c>
      <c r="O80">
        <f>IFERROR(Marketing_Data[[#This Row],[orders]]/Marketing_Data[[#This Row],[leads]],0)</f>
        <v>7.575757575757576E-2</v>
      </c>
      <c r="P80">
        <f>IFERROR(Marketing_Data[[#This Row],[revenue]]/Marketing_Data[[#This Row],[orders]],0)</f>
        <v>5734</v>
      </c>
      <c r="Q80">
        <f t="shared" si="9"/>
        <v>10.259209726443769</v>
      </c>
      <c r="R80">
        <f t="shared" si="10"/>
        <v>511.40606060606063</v>
      </c>
      <c r="S80">
        <f t="shared" si="11"/>
        <v>6750.56</v>
      </c>
      <c r="T80">
        <f t="shared" si="12"/>
        <v>-5082.8000000000029</v>
      </c>
      <c r="U80">
        <f t="shared" si="13"/>
        <v>-0.15058898817283314</v>
      </c>
      <c r="V80">
        <v>28670</v>
      </c>
    </row>
    <row r="81" spans="1:22" x14ac:dyDescent="0.25">
      <c r="A81" s="2">
        <v>80</v>
      </c>
      <c r="B81" s="1">
        <v>44235</v>
      </c>
      <c r="C81" s="1" t="str">
        <f t="shared" si="7"/>
        <v>Weekday</v>
      </c>
      <c r="D81" t="s">
        <v>13</v>
      </c>
      <c r="E81" t="str">
        <f t="shared" si="8"/>
        <v>Other</v>
      </c>
      <c r="F81" t="s">
        <v>14</v>
      </c>
      <c r="G81">
        <v>89459845</v>
      </c>
      <c r="H81">
        <v>51350</v>
      </c>
      <c r="I81">
        <v>6918.85</v>
      </c>
      <c r="J81">
        <v>904</v>
      </c>
      <c r="K81">
        <v>20</v>
      </c>
      <c r="L81">
        <v>2</v>
      </c>
      <c r="M81">
        <f>IFERROR(Marketing_Data[[#This Row],[leads]]/Marketing_Data[[#This Row],[clicks]],0)</f>
        <v>2.2123893805309734E-2</v>
      </c>
      <c r="N81">
        <f>IFERROR(Marketing_Data[[#This Row],[clicks]]/Marketing_Data[[#This Row],[impressions]],0)</f>
        <v>1.7604673807205453E-2</v>
      </c>
      <c r="O81">
        <f>IFERROR(Marketing_Data[[#This Row],[orders]]/Marketing_Data[[#This Row],[leads]],0)</f>
        <v>0.1</v>
      </c>
      <c r="P81">
        <f>IFERROR(Marketing_Data[[#This Row],[revenue]]/Marketing_Data[[#This Row],[orders]],0)</f>
        <v>8120</v>
      </c>
      <c r="Q81">
        <f t="shared" si="9"/>
        <v>7.6535951327433631</v>
      </c>
      <c r="R81">
        <f t="shared" si="10"/>
        <v>345.9425</v>
      </c>
      <c r="S81">
        <f t="shared" si="11"/>
        <v>3459.4250000000002</v>
      </c>
      <c r="T81">
        <f t="shared" si="12"/>
        <v>9321.15</v>
      </c>
      <c r="U81">
        <f t="shared" si="13"/>
        <v>1.3472108804208791</v>
      </c>
      <c r="V81">
        <v>16240</v>
      </c>
    </row>
    <row r="82" spans="1:22" x14ac:dyDescent="0.25">
      <c r="A82" s="2">
        <v>81</v>
      </c>
      <c r="B82" s="1">
        <v>44235</v>
      </c>
      <c r="C82" s="1" t="str">
        <f t="shared" si="7"/>
        <v>Weekday</v>
      </c>
      <c r="D82" t="s">
        <v>15</v>
      </c>
      <c r="E82" t="str">
        <f t="shared" si="8"/>
        <v>Other</v>
      </c>
      <c r="F82" t="s">
        <v>14</v>
      </c>
      <c r="G82">
        <v>127823</v>
      </c>
      <c r="H82">
        <v>478000</v>
      </c>
      <c r="I82">
        <v>16567.5</v>
      </c>
      <c r="J82">
        <v>2390</v>
      </c>
      <c r="K82">
        <v>48</v>
      </c>
      <c r="L82">
        <v>5</v>
      </c>
      <c r="M82">
        <f>IFERROR(Marketing_Data[[#This Row],[leads]]/Marketing_Data[[#This Row],[clicks]],0)</f>
        <v>2.0083682008368201E-2</v>
      </c>
      <c r="N82">
        <f>IFERROR(Marketing_Data[[#This Row],[clicks]]/Marketing_Data[[#This Row],[impressions]],0)</f>
        <v>5.0000000000000001E-3</v>
      </c>
      <c r="O82">
        <f>IFERROR(Marketing_Data[[#This Row],[orders]]/Marketing_Data[[#This Row],[leads]],0)</f>
        <v>0.10416666666666667</v>
      </c>
      <c r="P82">
        <f>IFERROR(Marketing_Data[[#This Row],[revenue]]/Marketing_Data[[#This Row],[orders]],0)</f>
        <v>3399</v>
      </c>
      <c r="Q82">
        <f t="shared" si="9"/>
        <v>6.9320083682008367</v>
      </c>
      <c r="R82">
        <f t="shared" si="10"/>
        <v>345.15625</v>
      </c>
      <c r="S82">
        <f t="shared" si="11"/>
        <v>3313.5</v>
      </c>
      <c r="T82">
        <f t="shared" si="12"/>
        <v>427.5</v>
      </c>
      <c r="U82">
        <f t="shared" si="13"/>
        <v>2.5803531009506563E-2</v>
      </c>
      <c r="V82">
        <v>16995</v>
      </c>
    </row>
    <row r="83" spans="1:22" x14ac:dyDescent="0.25">
      <c r="A83" s="2">
        <v>82</v>
      </c>
      <c r="B83" s="1">
        <v>44235</v>
      </c>
      <c r="C83" s="1" t="str">
        <f t="shared" si="7"/>
        <v>Weekday</v>
      </c>
      <c r="D83" t="s">
        <v>16</v>
      </c>
      <c r="E83" t="str">
        <f t="shared" si="8"/>
        <v>Other</v>
      </c>
      <c r="F83" t="s">
        <v>17</v>
      </c>
      <c r="G83">
        <v>10934</v>
      </c>
      <c r="H83">
        <v>685530</v>
      </c>
      <c r="I83">
        <v>33892.6</v>
      </c>
      <c r="J83">
        <v>4491</v>
      </c>
      <c r="K83">
        <v>79</v>
      </c>
      <c r="L83">
        <v>16</v>
      </c>
      <c r="M83">
        <f>IFERROR(Marketing_Data[[#This Row],[leads]]/Marketing_Data[[#This Row],[clicks]],0)</f>
        <v>1.7590737029614785E-2</v>
      </c>
      <c r="N83">
        <f>IFERROR(Marketing_Data[[#This Row],[clicks]]/Marketing_Data[[#This Row],[impressions]],0)</f>
        <v>6.5511356176972558E-3</v>
      </c>
      <c r="O83">
        <f>IFERROR(Marketing_Data[[#This Row],[orders]]/Marketing_Data[[#This Row],[leads]],0)</f>
        <v>0.20253164556962025</v>
      </c>
      <c r="P83">
        <f>IFERROR(Marketing_Data[[#This Row],[revenue]]/Marketing_Data[[#This Row],[orders]],0)</f>
        <v>7511</v>
      </c>
      <c r="Q83">
        <f t="shared" si="9"/>
        <v>7.5467824537964816</v>
      </c>
      <c r="R83">
        <f t="shared" si="10"/>
        <v>429.02025316455695</v>
      </c>
      <c r="S83">
        <f t="shared" si="11"/>
        <v>2118.2874999999999</v>
      </c>
      <c r="T83">
        <f t="shared" si="12"/>
        <v>86283.4</v>
      </c>
      <c r="U83">
        <f t="shared" si="13"/>
        <v>2.5457887562476764</v>
      </c>
      <c r="V83">
        <v>120176</v>
      </c>
    </row>
    <row r="84" spans="1:22" x14ac:dyDescent="0.25">
      <c r="A84" s="2">
        <v>83</v>
      </c>
      <c r="B84" s="1">
        <v>44235</v>
      </c>
      <c r="C84" s="1" t="str">
        <f t="shared" si="7"/>
        <v>Weekday</v>
      </c>
      <c r="D84" t="s">
        <v>18</v>
      </c>
      <c r="E84" t="str">
        <f t="shared" si="8"/>
        <v>Tier 1</v>
      </c>
      <c r="F84" t="s">
        <v>12</v>
      </c>
      <c r="G84">
        <v>9034945</v>
      </c>
      <c r="H84">
        <v>472836</v>
      </c>
      <c r="I84">
        <v>330.76</v>
      </c>
      <c r="J84">
        <v>2690</v>
      </c>
      <c r="K84">
        <v>1</v>
      </c>
      <c r="L84">
        <v>0</v>
      </c>
      <c r="M84">
        <f>IFERROR(Marketing_Data[[#This Row],[leads]]/Marketing_Data[[#This Row],[clicks]],0)</f>
        <v>3.7174721189591077E-4</v>
      </c>
      <c r="N84">
        <f>IFERROR(Marketing_Data[[#This Row],[clicks]]/Marketing_Data[[#This Row],[impressions]],0)</f>
        <v>5.6890761278752039E-3</v>
      </c>
      <c r="O84">
        <f>IFERROR(Marketing_Data[[#This Row],[orders]]/Marketing_Data[[#This Row],[leads]],0)</f>
        <v>0</v>
      </c>
      <c r="P84">
        <f>IFERROR(Marketing_Data[[#This Row],[revenue]]/Marketing_Data[[#This Row],[orders]],0)</f>
        <v>0</v>
      </c>
      <c r="Q84">
        <f t="shared" si="9"/>
        <v>0.12295910780669145</v>
      </c>
      <c r="R84">
        <f t="shared" si="10"/>
        <v>330.76</v>
      </c>
      <c r="S84">
        <f t="shared" si="11"/>
        <v>0</v>
      </c>
      <c r="T84">
        <f t="shared" si="12"/>
        <v>-330.76</v>
      </c>
      <c r="U84">
        <f t="shared" si="13"/>
        <v>-1</v>
      </c>
      <c r="V84">
        <v>0</v>
      </c>
    </row>
    <row r="85" spans="1:22" x14ac:dyDescent="0.25">
      <c r="A85" s="2">
        <v>84</v>
      </c>
      <c r="B85" s="1">
        <v>44235</v>
      </c>
      <c r="C85" s="1" t="str">
        <f t="shared" si="7"/>
        <v>Weekday</v>
      </c>
      <c r="D85" t="s">
        <v>19</v>
      </c>
      <c r="E85" t="str">
        <f t="shared" si="8"/>
        <v>Tier 2</v>
      </c>
      <c r="F85" t="s">
        <v>12</v>
      </c>
      <c r="G85">
        <v>983498</v>
      </c>
      <c r="H85">
        <v>1020000</v>
      </c>
      <c r="I85">
        <v>2057.3000000000002</v>
      </c>
      <c r="J85">
        <v>5100</v>
      </c>
      <c r="K85">
        <v>102</v>
      </c>
      <c r="L85">
        <v>1</v>
      </c>
      <c r="M85">
        <f>IFERROR(Marketing_Data[[#This Row],[leads]]/Marketing_Data[[#This Row],[clicks]],0)</f>
        <v>0.02</v>
      </c>
      <c r="N85">
        <f>IFERROR(Marketing_Data[[#This Row],[clicks]]/Marketing_Data[[#This Row],[impressions]],0)</f>
        <v>5.0000000000000001E-3</v>
      </c>
      <c r="O85">
        <f>IFERROR(Marketing_Data[[#This Row],[orders]]/Marketing_Data[[#This Row],[leads]],0)</f>
        <v>9.8039215686274508E-3</v>
      </c>
      <c r="P85">
        <f>IFERROR(Marketing_Data[[#This Row],[revenue]]/Marketing_Data[[#This Row],[orders]],0)</f>
        <v>1981</v>
      </c>
      <c r="Q85">
        <f t="shared" si="9"/>
        <v>0.40339215686274515</v>
      </c>
      <c r="R85">
        <f t="shared" si="10"/>
        <v>20.169607843137257</v>
      </c>
      <c r="S85">
        <f t="shared" si="11"/>
        <v>2057.3000000000002</v>
      </c>
      <c r="T85">
        <f t="shared" si="12"/>
        <v>-76.300000000000182</v>
      </c>
      <c r="U85">
        <f t="shared" si="13"/>
        <v>-3.7087444709084809E-2</v>
      </c>
      <c r="V85">
        <v>1981</v>
      </c>
    </row>
    <row r="86" spans="1:22" x14ac:dyDescent="0.25">
      <c r="A86" s="2">
        <v>85</v>
      </c>
      <c r="B86" s="1">
        <v>44235</v>
      </c>
      <c r="C86" s="1" t="str">
        <f t="shared" si="7"/>
        <v>Weekday</v>
      </c>
      <c r="D86" t="s">
        <v>20</v>
      </c>
      <c r="E86" t="str">
        <f t="shared" si="8"/>
        <v>Other</v>
      </c>
      <c r="F86" t="s">
        <v>12</v>
      </c>
      <c r="G86">
        <v>4387490</v>
      </c>
      <c r="H86">
        <v>10067</v>
      </c>
      <c r="I86">
        <v>4336.04</v>
      </c>
      <c r="J86">
        <v>302</v>
      </c>
      <c r="K86">
        <v>10</v>
      </c>
      <c r="L86">
        <v>2</v>
      </c>
      <c r="M86">
        <f>IFERROR(Marketing_Data[[#This Row],[leads]]/Marketing_Data[[#This Row],[clicks]],0)</f>
        <v>3.3112582781456956E-2</v>
      </c>
      <c r="N86">
        <f>IFERROR(Marketing_Data[[#This Row],[clicks]]/Marketing_Data[[#This Row],[impressions]],0)</f>
        <v>2.999900665540876E-2</v>
      </c>
      <c r="O86">
        <f>IFERROR(Marketing_Data[[#This Row],[orders]]/Marketing_Data[[#This Row],[leads]],0)</f>
        <v>0.2</v>
      </c>
      <c r="P86">
        <f>IFERROR(Marketing_Data[[#This Row],[revenue]]/Marketing_Data[[#This Row],[orders]],0)</f>
        <v>5018</v>
      </c>
      <c r="Q86">
        <f t="shared" si="9"/>
        <v>14.357748344370862</v>
      </c>
      <c r="R86">
        <f t="shared" si="10"/>
        <v>433.60399999999998</v>
      </c>
      <c r="S86">
        <f t="shared" si="11"/>
        <v>2168.02</v>
      </c>
      <c r="T86">
        <f t="shared" si="12"/>
        <v>5699.96</v>
      </c>
      <c r="U86">
        <f t="shared" si="13"/>
        <v>1.3145542937795778</v>
      </c>
      <c r="V86">
        <v>10036</v>
      </c>
    </row>
    <row r="87" spans="1:22" x14ac:dyDescent="0.25">
      <c r="A87" s="2">
        <v>86</v>
      </c>
      <c r="B87" s="1">
        <v>44235</v>
      </c>
      <c r="C87" s="1" t="str">
        <f t="shared" si="7"/>
        <v>Weekday</v>
      </c>
      <c r="D87" t="s">
        <v>21</v>
      </c>
      <c r="E87" t="str">
        <f t="shared" si="8"/>
        <v>Other</v>
      </c>
      <c r="F87" t="s">
        <v>12</v>
      </c>
      <c r="G87">
        <v>544756</v>
      </c>
      <c r="H87">
        <v>120200</v>
      </c>
      <c r="I87">
        <v>40099</v>
      </c>
      <c r="J87">
        <v>1202</v>
      </c>
      <c r="K87">
        <v>24</v>
      </c>
      <c r="L87">
        <v>5</v>
      </c>
      <c r="M87">
        <f>IFERROR(Marketing_Data[[#This Row],[leads]]/Marketing_Data[[#This Row],[clicks]],0)</f>
        <v>1.9966722129783693E-2</v>
      </c>
      <c r="N87">
        <f>IFERROR(Marketing_Data[[#This Row],[clicks]]/Marketing_Data[[#This Row],[impressions]],0)</f>
        <v>0.01</v>
      </c>
      <c r="O87">
        <f>IFERROR(Marketing_Data[[#This Row],[orders]]/Marketing_Data[[#This Row],[leads]],0)</f>
        <v>0.20833333333333334</v>
      </c>
      <c r="P87">
        <f>IFERROR(Marketing_Data[[#This Row],[revenue]]/Marketing_Data[[#This Row],[orders]],0)</f>
        <v>981</v>
      </c>
      <c r="Q87">
        <f t="shared" si="9"/>
        <v>33.360232945091511</v>
      </c>
      <c r="R87">
        <f t="shared" si="10"/>
        <v>1670.7916666666667</v>
      </c>
      <c r="S87">
        <f t="shared" si="11"/>
        <v>8019.8</v>
      </c>
      <c r="T87">
        <f t="shared" si="12"/>
        <v>-35194</v>
      </c>
      <c r="U87">
        <f t="shared" si="13"/>
        <v>-0.87767774757475248</v>
      </c>
      <c r="V87">
        <v>4905</v>
      </c>
    </row>
    <row r="88" spans="1:22" x14ac:dyDescent="0.25">
      <c r="A88" s="2">
        <v>87</v>
      </c>
      <c r="B88" s="1">
        <v>44235</v>
      </c>
      <c r="C88" s="1" t="str">
        <f t="shared" si="7"/>
        <v>Weekday</v>
      </c>
      <c r="D88" t="s">
        <v>22</v>
      </c>
      <c r="E88" t="str">
        <f t="shared" si="8"/>
        <v>Other</v>
      </c>
      <c r="F88" t="s">
        <v>17</v>
      </c>
      <c r="G88">
        <v>374754</v>
      </c>
      <c r="H88">
        <v>361650</v>
      </c>
      <c r="I88">
        <v>31154.3</v>
      </c>
      <c r="J88">
        <v>2991</v>
      </c>
      <c r="K88">
        <v>60</v>
      </c>
      <c r="L88">
        <v>9</v>
      </c>
      <c r="M88">
        <f>IFERROR(Marketing_Data[[#This Row],[leads]]/Marketing_Data[[#This Row],[clicks]],0)</f>
        <v>2.0060180541624874E-2</v>
      </c>
      <c r="N88">
        <f>IFERROR(Marketing_Data[[#This Row],[clicks]]/Marketing_Data[[#This Row],[impressions]],0)</f>
        <v>8.2704272086271263E-3</v>
      </c>
      <c r="O88">
        <f>IFERROR(Marketing_Data[[#This Row],[orders]]/Marketing_Data[[#This Row],[leads]],0)</f>
        <v>0.15</v>
      </c>
      <c r="P88">
        <f>IFERROR(Marketing_Data[[#This Row],[revenue]]/Marketing_Data[[#This Row],[orders]],0)</f>
        <v>5003</v>
      </c>
      <c r="Q88">
        <f t="shared" si="9"/>
        <v>10.416014710799063</v>
      </c>
      <c r="R88">
        <f t="shared" si="10"/>
        <v>519.23833333333334</v>
      </c>
      <c r="S88">
        <f t="shared" si="11"/>
        <v>3461.588888888889</v>
      </c>
      <c r="T88">
        <f t="shared" si="12"/>
        <v>13872.7</v>
      </c>
      <c r="U88">
        <f t="shared" si="13"/>
        <v>0.44529005626831614</v>
      </c>
      <c r="V88">
        <v>45027</v>
      </c>
    </row>
    <row r="89" spans="1:22" x14ac:dyDescent="0.25">
      <c r="A89" s="2">
        <v>88</v>
      </c>
      <c r="B89" s="1">
        <v>44235</v>
      </c>
      <c r="C89" s="1" t="str">
        <f t="shared" si="7"/>
        <v>Weekday</v>
      </c>
      <c r="D89" t="s">
        <v>23</v>
      </c>
      <c r="E89" t="str">
        <f t="shared" si="8"/>
        <v>Other</v>
      </c>
      <c r="F89" t="s">
        <v>24</v>
      </c>
      <c r="G89">
        <v>39889</v>
      </c>
      <c r="H89">
        <v>2233790</v>
      </c>
      <c r="I89">
        <v>31883.9</v>
      </c>
      <c r="J89">
        <v>4197</v>
      </c>
      <c r="K89">
        <v>84</v>
      </c>
      <c r="L89">
        <v>10</v>
      </c>
      <c r="M89">
        <f>IFERROR(Marketing_Data[[#This Row],[leads]]/Marketing_Data[[#This Row],[clicks]],0)</f>
        <v>2.0014295925661188E-2</v>
      </c>
      <c r="N89">
        <f>IFERROR(Marketing_Data[[#This Row],[clicks]]/Marketing_Data[[#This Row],[impressions]],0)</f>
        <v>1.8788695445856594E-3</v>
      </c>
      <c r="O89">
        <f>IFERROR(Marketing_Data[[#This Row],[orders]]/Marketing_Data[[#This Row],[leads]],0)</f>
        <v>0.11904761904761904</v>
      </c>
      <c r="P89">
        <f>IFERROR(Marketing_Data[[#This Row],[revenue]]/Marketing_Data[[#This Row],[orders]],0)</f>
        <v>4228</v>
      </c>
      <c r="Q89">
        <f t="shared" si="9"/>
        <v>7.5968310698117705</v>
      </c>
      <c r="R89">
        <f t="shared" si="10"/>
        <v>379.5702380952381</v>
      </c>
      <c r="S89">
        <f t="shared" si="11"/>
        <v>3188.3900000000003</v>
      </c>
      <c r="T89">
        <f t="shared" si="12"/>
        <v>10396.099999999999</v>
      </c>
      <c r="U89">
        <f t="shared" si="13"/>
        <v>0.32606111548461758</v>
      </c>
      <c r="V89">
        <v>42280</v>
      </c>
    </row>
    <row r="90" spans="1:22" x14ac:dyDescent="0.25">
      <c r="A90" s="2">
        <v>89</v>
      </c>
      <c r="B90" s="1">
        <v>44236</v>
      </c>
      <c r="C90" s="1" t="str">
        <f t="shared" si="7"/>
        <v>Weekday</v>
      </c>
      <c r="D90" t="s">
        <v>11</v>
      </c>
      <c r="E90" t="str">
        <f t="shared" si="8"/>
        <v>Tier 1</v>
      </c>
      <c r="F90" t="s">
        <v>12</v>
      </c>
      <c r="G90">
        <v>349043</v>
      </c>
      <c r="H90">
        <v>478600</v>
      </c>
      <c r="I90">
        <v>49036.5</v>
      </c>
      <c r="J90">
        <v>2393</v>
      </c>
      <c r="K90">
        <v>68</v>
      </c>
      <c r="L90">
        <v>9</v>
      </c>
      <c r="M90">
        <f>IFERROR(Marketing_Data[[#This Row],[leads]]/Marketing_Data[[#This Row],[clicks]],0)</f>
        <v>2.8416213957375678E-2</v>
      </c>
      <c r="N90">
        <f>IFERROR(Marketing_Data[[#This Row],[clicks]]/Marketing_Data[[#This Row],[impressions]],0)</f>
        <v>5.0000000000000001E-3</v>
      </c>
      <c r="O90">
        <f>IFERROR(Marketing_Data[[#This Row],[orders]]/Marketing_Data[[#This Row],[leads]],0)</f>
        <v>0.13235294117647059</v>
      </c>
      <c r="P90">
        <f>IFERROR(Marketing_Data[[#This Row],[revenue]]/Marketing_Data[[#This Row],[orders]],0)</f>
        <v>4757</v>
      </c>
      <c r="Q90">
        <f t="shared" si="9"/>
        <v>20.491642290012535</v>
      </c>
      <c r="R90">
        <f t="shared" si="10"/>
        <v>721.125</v>
      </c>
      <c r="S90">
        <f t="shared" si="11"/>
        <v>5448.5</v>
      </c>
      <c r="T90">
        <f t="shared" si="12"/>
        <v>-6223.5</v>
      </c>
      <c r="U90">
        <f t="shared" si="13"/>
        <v>-0.1269156648618886</v>
      </c>
      <c r="V90">
        <v>42813</v>
      </c>
    </row>
    <row r="91" spans="1:22" x14ac:dyDescent="0.25">
      <c r="A91" s="2">
        <v>90</v>
      </c>
      <c r="B91" s="1">
        <v>44236</v>
      </c>
      <c r="C91" s="1" t="str">
        <f t="shared" si="7"/>
        <v>Weekday</v>
      </c>
      <c r="D91" t="s">
        <v>25</v>
      </c>
      <c r="E91" t="str">
        <f t="shared" si="8"/>
        <v>Tier 2</v>
      </c>
      <c r="F91" t="s">
        <v>12</v>
      </c>
      <c r="G91">
        <v>348934</v>
      </c>
      <c r="H91">
        <v>555116</v>
      </c>
      <c r="I91">
        <v>62119.4</v>
      </c>
      <c r="J91">
        <v>3303</v>
      </c>
      <c r="K91">
        <v>96</v>
      </c>
      <c r="L91">
        <v>11</v>
      </c>
      <c r="M91">
        <f>IFERROR(Marketing_Data[[#This Row],[leads]]/Marketing_Data[[#This Row],[clicks]],0)</f>
        <v>2.9064486830154404E-2</v>
      </c>
      <c r="N91">
        <f>IFERROR(Marketing_Data[[#This Row],[clicks]]/Marketing_Data[[#This Row],[impressions]],0)</f>
        <v>5.9501077252322038E-3</v>
      </c>
      <c r="O91">
        <f>IFERROR(Marketing_Data[[#This Row],[orders]]/Marketing_Data[[#This Row],[leads]],0)</f>
        <v>0.11458333333333333</v>
      </c>
      <c r="P91">
        <f>IFERROR(Marketing_Data[[#This Row],[revenue]]/Marketing_Data[[#This Row],[orders]],0)</f>
        <v>4981</v>
      </c>
      <c r="Q91">
        <f t="shared" si="9"/>
        <v>18.806963366636392</v>
      </c>
      <c r="R91">
        <f t="shared" si="10"/>
        <v>647.07708333333335</v>
      </c>
      <c r="S91">
        <f t="shared" si="11"/>
        <v>5647.2181818181816</v>
      </c>
      <c r="T91">
        <f t="shared" si="12"/>
        <v>-7328.4000000000015</v>
      </c>
      <c r="U91">
        <f t="shared" si="13"/>
        <v>-0.11797280720676634</v>
      </c>
      <c r="V91">
        <v>54791</v>
      </c>
    </row>
    <row r="92" spans="1:22" x14ac:dyDescent="0.25">
      <c r="A92" s="2">
        <v>91</v>
      </c>
      <c r="B92" s="1">
        <v>44236</v>
      </c>
      <c r="C92" s="1" t="str">
        <f t="shared" si="7"/>
        <v>Weekday</v>
      </c>
      <c r="D92" t="s">
        <v>13</v>
      </c>
      <c r="E92" t="str">
        <f t="shared" si="8"/>
        <v>Other</v>
      </c>
      <c r="F92" t="s">
        <v>14</v>
      </c>
      <c r="G92">
        <v>89459845</v>
      </c>
      <c r="H92">
        <v>44900</v>
      </c>
      <c r="I92">
        <v>3095.21</v>
      </c>
      <c r="J92">
        <v>898</v>
      </c>
      <c r="K92">
        <v>5</v>
      </c>
      <c r="L92">
        <v>1</v>
      </c>
      <c r="M92">
        <f>IFERROR(Marketing_Data[[#This Row],[leads]]/Marketing_Data[[#This Row],[clicks]],0)</f>
        <v>5.5679287305122494E-3</v>
      </c>
      <c r="N92">
        <f>IFERROR(Marketing_Data[[#This Row],[clicks]]/Marketing_Data[[#This Row],[impressions]],0)</f>
        <v>0.02</v>
      </c>
      <c r="O92">
        <f>IFERROR(Marketing_Data[[#This Row],[orders]]/Marketing_Data[[#This Row],[leads]],0)</f>
        <v>0.2</v>
      </c>
      <c r="P92">
        <f>IFERROR(Marketing_Data[[#This Row],[revenue]]/Marketing_Data[[#This Row],[orders]],0)</f>
        <v>7998</v>
      </c>
      <c r="Q92">
        <f t="shared" si="9"/>
        <v>3.4467817371937639</v>
      </c>
      <c r="R92">
        <f t="shared" si="10"/>
        <v>619.04200000000003</v>
      </c>
      <c r="S92">
        <f t="shared" si="11"/>
        <v>3095.21</v>
      </c>
      <c r="T92">
        <f t="shared" si="12"/>
        <v>4902.79</v>
      </c>
      <c r="U92">
        <f t="shared" si="13"/>
        <v>1.5839926854720681</v>
      </c>
      <c r="V92">
        <v>7998</v>
      </c>
    </row>
    <row r="93" spans="1:22" x14ac:dyDescent="0.25">
      <c r="A93" s="2">
        <v>92</v>
      </c>
      <c r="B93" s="1">
        <v>44236</v>
      </c>
      <c r="C93" s="1" t="str">
        <f t="shared" si="7"/>
        <v>Weekday</v>
      </c>
      <c r="D93" t="s">
        <v>15</v>
      </c>
      <c r="E93" t="str">
        <f t="shared" si="8"/>
        <v>Other</v>
      </c>
      <c r="F93" t="s">
        <v>14</v>
      </c>
      <c r="G93">
        <v>127823</v>
      </c>
      <c r="H93">
        <v>478600</v>
      </c>
      <c r="I93">
        <v>20299.3</v>
      </c>
      <c r="J93">
        <v>2393</v>
      </c>
      <c r="K93">
        <v>48</v>
      </c>
      <c r="L93">
        <v>5</v>
      </c>
      <c r="M93">
        <f>IFERROR(Marketing_Data[[#This Row],[leads]]/Marketing_Data[[#This Row],[clicks]],0)</f>
        <v>2.0058503969912243E-2</v>
      </c>
      <c r="N93">
        <f>IFERROR(Marketing_Data[[#This Row],[clicks]]/Marketing_Data[[#This Row],[impressions]],0)</f>
        <v>5.0000000000000001E-3</v>
      </c>
      <c r="O93">
        <f>IFERROR(Marketing_Data[[#This Row],[orders]]/Marketing_Data[[#This Row],[leads]],0)</f>
        <v>0.10416666666666667</v>
      </c>
      <c r="P93">
        <f>IFERROR(Marketing_Data[[#This Row],[revenue]]/Marketing_Data[[#This Row],[orders]],0)</f>
        <v>2981</v>
      </c>
      <c r="Q93">
        <f t="shared" si="9"/>
        <v>8.482783117425825</v>
      </c>
      <c r="R93">
        <f t="shared" si="10"/>
        <v>422.90208333333334</v>
      </c>
      <c r="S93">
        <f t="shared" si="11"/>
        <v>4059.8599999999997</v>
      </c>
      <c r="T93">
        <f t="shared" si="12"/>
        <v>-5394.2999999999993</v>
      </c>
      <c r="U93">
        <f t="shared" si="13"/>
        <v>-0.2657382274265615</v>
      </c>
      <c r="V93">
        <v>14905</v>
      </c>
    </row>
    <row r="94" spans="1:22" x14ac:dyDescent="0.25">
      <c r="A94" s="2">
        <v>93</v>
      </c>
      <c r="B94" s="1">
        <v>44236</v>
      </c>
      <c r="C94" s="1" t="str">
        <f t="shared" si="7"/>
        <v>Weekday</v>
      </c>
      <c r="D94" t="s">
        <v>16</v>
      </c>
      <c r="E94" t="str">
        <f t="shared" si="8"/>
        <v>Other</v>
      </c>
      <c r="F94" t="s">
        <v>17</v>
      </c>
      <c r="G94">
        <v>10934</v>
      </c>
      <c r="H94">
        <v>491821</v>
      </c>
      <c r="I94">
        <v>27833</v>
      </c>
      <c r="J94">
        <v>4495</v>
      </c>
      <c r="K94">
        <v>90</v>
      </c>
      <c r="L94">
        <v>18</v>
      </c>
      <c r="M94">
        <f>IFERROR(Marketing_Data[[#This Row],[leads]]/Marketing_Data[[#This Row],[clicks]],0)</f>
        <v>2.0022246941045607E-2</v>
      </c>
      <c r="N94">
        <f>IFERROR(Marketing_Data[[#This Row],[clicks]]/Marketing_Data[[#This Row],[impressions]],0)</f>
        <v>9.1395040065389652E-3</v>
      </c>
      <c r="O94">
        <f>IFERROR(Marketing_Data[[#This Row],[orders]]/Marketing_Data[[#This Row],[leads]],0)</f>
        <v>0.2</v>
      </c>
      <c r="P94">
        <f>IFERROR(Marketing_Data[[#This Row],[revenue]]/Marketing_Data[[#This Row],[orders]],0)</f>
        <v>7981</v>
      </c>
      <c r="Q94">
        <f t="shared" si="9"/>
        <v>6.1919911012235813</v>
      </c>
      <c r="R94">
        <f t="shared" si="10"/>
        <v>309.25555555555553</v>
      </c>
      <c r="S94">
        <f t="shared" si="11"/>
        <v>1546.2777777777778</v>
      </c>
      <c r="T94">
        <f t="shared" si="12"/>
        <v>115825</v>
      </c>
      <c r="U94">
        <f t="shared" si="13"/>
        <v>4.1614270829590776</v>
      </c>
      <c r="V94">
        <v>143658</v>
      </c>
    </row>
    <row r="95" spans="1:22" x14ac:dyDescent="0.25">
      <c r="A95" s="2">
        <v>94</v>
      </c>
      <c r="B95" s="1">
        <v>44236</v>
      </c>
      <c r="C95" s="1" t="str">
        <f t="shared" si="7"/>
        <v>Weekday</v>
      </c>
      <c r="D95" t="s">
        <v>18</v>
      </c>
      <c r="E95" t="str">
        <f t="shared" si="8"/>
        <v>Tier 1</v>
      </c>
      <c r="F95" t="s">
        <v>12</v>
      </c>
      <c r="G95">
        <v>9034945</v>
      </c>
      <c r="H95">
        <v>759532</v>
      </c>
      <c r="I95">
        <v>10317</v>
      </c>
      <c r="J95">
        <v>2701</v>
      </c>
      <c r="K95">
        <v>19</v>
      </c>
      <c r="L95">
        <v>3</v>
      </c>
      <c r="M95">
        <f>IFERROR(Marketing_Data[[#This Row],[leads]]/Marketing_Data[[#This Row],[clicks]],0)</f>
        <v>7.0344316919659384E-3</v>
      </c>
      <c r="N95">
        <f>IFERROR(Marketing_Data[[#This Row],[clicks]]/Marketing_Data[[#This Row],[impressions]],0)</f>
        <v>3.5561372002759595E-3</v>
      </c>
      <c r="O95">
        <f>IFERROR(Marketing_Data[[#This Row],[orders]]/Marketing_Data[[#This Row],[leads]],0)</f>
        <v>0.15789473684210525</v>
      </c>
      <c r="P95">
        <f>IFERROR(Marketing_Data[[#This Row],[revenue]]/Marketing_Data[[#This Row],[orders]],0)</f>
        <v>6600</v>
      </c>
      <c r="Q95">
        <f t="shared" si="9"/>
        <v>3.8196964087375047</v>
      </c>
      <c r="R95">
        <f t="shared" si="10"/>
        <v>543</v>
      </c>
      <c r="S95">
        <f t="shared" si="11"/>
        <v>3439</v>
      </c>
      <c r="T95">
        <f t="shared" si="12"/>
        <v>9483</v>
      </c>
      <c r="U95">
        <f t="shared" si="13"/>
        <v>0.91916254725210822</v>
      </c>
      <c r="V95">
        <v>19800</v>
      </c>
    </row>
    <row r="96" spans="1:22" x14ac:dyDescent="0.25">
      <c r="A96" s="2">
        <v>95</v>
      </c>
      <c r="B96" s="1">
        <v>44236</v>
      </c>
      <c r="C96" s="1" t="str">
        <f t="shared" si="7"/>
        <v>Weekday</v>
      </c>
      <c r="D96" t="s">
        <v>19</v>
      </c>
      <c r="E96" t="str">
        <f t="shared" si="8"/>
        <v>Tier 2</v>
      </c>
      <c r="F96" t="s">
        <v>12</v>
      </c>
      <c r="G96">
        <v>983498</v>
      </c>
      <c r="H96">
        <v>1022000</v>
      </c>
      <c r="I96">
        <v>7398.26</v>
      </c>
      <c r="J96">
        <v>5110</v>
      </c>
      <c r="K96">
        <v>102</v>
      </c>
      <c r="L96">
        <v>3</v>
      </c>
      <c r="M96">
        <f>IFERROR(Marketing_Data[[#This Row],[leads]]/Marketing_Data[[#This Row],[clicks]],0)</f>
        <v>1.9960861056751468E-2</v>
      </c>
      <c r="N96">
        <f>IFERROR(Marketing_Data[[#This Row],[clicks]]/Marketing_Data[[#This Row],[impressions]],0)</f>
        <v>5.0000000000000001E-3</v>
      </c>
      <c r="O96">
        <f>IFERROR(Marketing_Data[[#This Row],[orders]]/Marketing_Data[[#This Row],[leads]],0)</f>
        <v>2.9411764705882353E-2</v>
      </c>
      <c r="P96">
        <f>IFERROR(Marketing_Data[[#This Row],[revenue]]/Marketing_Data[[#This Row],[orders]],0)</f>
        <v>1981</v>
      </c>
      <c r="Q96">
        <f t="shared" si="9"/>
        <v>1.4478003913894326</v>
      </c>
      <c r="R96">
        <f t="shared" si="10"/>
        <v>72.531960784313725</v>
      </c>
      <c r="S96">
        <f t="shared" si="11"/>
        <v>2466.0866666666666</v>
      </c>
      <c r="T96">
        <f t="shared" si="12"/>
        <v>-1455.2600000000002</v>
      </c>
      <c r="U96">
        <f t="shared" si="13"/>
        <v>-0.19670300854525255</v>
      </c>
      <c r="V96">
        <v>5943</v>
      </c>
    </row>
    <row r="97" spans="1:22" x14ac:dyDescent="0.25">
      <c r="A97" s="2">
        <v>96</v>
      </c>
      <c r="B97" s="1">
        <v>44236</v>
      </c>
      <c r="C97" s="1" t="str">
        <f t="shared" si="7"/>
        <v>Weekday</v>
      </c>
      <c r="D97" t="s">
        <v>20</v>
      </c>
      <c r="E97" t="str">
        <f t="shared" si="8"/>
        <v>Other</v>
      </c>
      <c r="F97" t="s">
        <v>12</v>
      </c>
      <c r="G97">
        <v>4387490</v>
      </c>
      <c r="H97">
        <v>9721</v>
      </c>
      <c r="I97">
        <v>2152.37</v>
      </c>
      <c r="J97">
        <v>290</v>
      </c>
      <c r="K97">
        <v>6</v>
      </c>
      <c r="L97">
        <v>1</v>
      </c>
      <c r="M97">
        <f>IFERROR(Marketing_Data[[#This Row],[leads]]/Marketing_Data[[#This Row],[clicks]],0)</f>
        <v>2.0689655172413793E-2</v>
      </c>
      <c r="N97">
        <f>IFERROR(Marketing_Data[[#This Row],[clicks]]/Marketing_Data[[#This Row],[impressions]],0)</f>
        <v>2.9832321777594897E-2</v>
      </c>
      <c r="O97">
        <f>IFERROR(Marketing_Data[[#This Row],[orders]]/Marketing_Data[[#This Row],[leads]],0)</f>
        <v>0.16666666666666666</v>
      </c>
      <c r="P97">
        <f>IFERROR(Marketing_Data[[#This Row],[revenue]]/Marketing_Data[[#This Row],[orders]],0)</f>
        <v>4353</v>
      </c>
      <c r="Q97">
        <f t="shared" si="9"/>
        <v>7.4219655172413788</v>
      </c>
      <c r="R97">
        <f t="shared" si="10"/>
        <v>358.7283333333333</v>
      </c>
      <c r="S97">
        <f t="shared" si="11"/>
        <v>2152.37</v>
      </c>
      <c r="T97">
        <f t="shared" si="12"/>
        <v>2200.63</v>
      </c>
      <c r="U97">
        <f t="shared" si="13"/>
        <v>1.0224217955091366</v>
      </c>
      <c r="V97">
        <v>4353</v>
      </c>
    </row>
    <row r="98" spans="1:22" x14ac:dyDescent="0.25">
      <c r="A98" s="2">
        <v>97</v>
      </c>
      <c r="B98" s="1">
        <v>44236</v>
      </c>
      <c r="C98" s="1" t="str">
        <f t="shared" si="7"/>
        <v>Weekday</v>
      </c>
      <c r="D98" t="s">
        <v>21</v>
      </c>
      <c r="E98" t="str">
        <f t="shared" si="8"/>
        <v>Other</v>
      </c>
      <c r="F98" t="s">
        <v>12</v>
      </c>
      <c r="G98">
        <v>544756</v>
      </c>
      <c r="H98">
        <v>189854</v>
      </c>
      <c r="I98">
        <v>29091.4</v>
      </c>
      <c r="J98">
        <v>1198</v>
      </c>
      <c r="K98">
        <v>24</v>
      </c>
      <c r="L98">
        <v>3</v>
      </c>
      <c r="M98">
        <f>IFERROR(Marketing_Data[[#This Row],[leads]]/Marketing_Data[[#This Row],[clicks]],0)</f>
        <v>2.003338898163606E-2</v>
      </c>
      <c r="N98">
        <f>IFERROR(Marketing_Data[[#This Row],[clicks]]/Marketing_Data[[#This Row],[impressions]],0)</f>
        <v>6.3101119807852353E-3</v>
      </c>
      <c r="O98">
        <f>IFERROR(Marketing_Data[[#This Row],[orders]]/Marketing_Data[[#This Row],[leads]],0)</f>
        <v>0.125</v>
      </c>
      <c r="P98">
        <f>IFERROR(Marketing_Data[[#This Row],[revenue]]/Marketing_Data[[#This Row],[orders]],0)</f>
        <v>981</v>
      </c>
      <c r="Q98">
        <f t="shared" si="9"/>
        <v>24.283305509181972</v>
      </c>
      <c r="R98">
        <f t="shared" si="10"/>
        <v>1212.1416666666667</v>
      </c>
      <c r="S98">
        <f t="shared" si="11"/>
        <v>9697.1333333333332</v>
      </c>
      <c r="T98">
        <f t="shared" si="12"/>
        <v>-26148.400000000001</v>
      </c>
      <c r="U98">
        <f t="shared" si="13"/>
        <v>-0.89883608214111388</v>
      </c>
      <c r="V98">
        <v>2943</v>
      </c>
    </row>
    <row r="99" spans="1:22" x14ac:dyDescent="0.25">
      <c r="A99" s="2">
        <v>98</v>
      </c>
      <c r="B99" s="1">
        <v>44236</v>
      </c>
      <c r="C99" s="1" t="str">
        <f t="shared" si="7"/>
        <v>Weekday</v>
      </c>
      <c r="D99" t="s">
        <v>22</v>
      </c>
      <c r="E99" t="str">
        <f t="shared" si="8"/>
        <v>Other</v>
      </c>
      <c r="F99" t="s">
        <v>17</v>
      </c>
      <c r="G99">
        <v>374754</v>
      </c>
      <c r="H99">
        <v>346068</v>
      </c>
      <c r="I99">
        <v>57642.400000000001</v>
      </c>
      <c r="J99">
        <v>3006</v>
      </c>
      <c r="K99">
        <v>99</v>
      </c>
      <c r="L99">
        <v>15</v>
      </c>
      <c r="M99">
        <f>IFERROR(Marketing_Data[[#This Row],[leads]]/Marketing_Data[[#This Row],[clicks]],0)</f>
        <v>3.2934131736526949E-2</v>
      </c>
      <c r="N99">
        <f>IFERROR(Marketing_Data[[#This Row],[clicks]]/Marketing_Data[[#This Row],[impressions]],0)</f>
        <v>8.6861541662332266E-3</v>
      </c>
      <c r="O99">
        <f>IFERROR(Marketing_Data[[#This Row],[orders]]/Marketing_Data[[#This Row],[leads]],0)</f>
        <v>0.15151515151515152</v>
      </c>
      <c r="P99">
        <f>IFERROR(Marketing_Data[[#This Row],[revenue]]/Marketing_Data[[#This Row],[orders]],0)</f>
        <v>5964</v>
      </c>
      <c r="Q99">
        <f t="shared" si="9"/>
        <v>19.175781769793748</v>
      </c>
      <c r="R99">
        <f t="shared" si="10"/>
        <v>582.24646464646469</v>
      </c>
      <c r="S99">
        <f t="shared" si="11"/>
        <v>3842.8266666666668</v>
      </c>
      <c r="T99">
        <f t="shared" si="12"/>
        <v>31817.599999999999</v>
      </c>
      <c r="U99">
        <f t="shared" si="13"/>
        <v>0.55198256838715942</v>
      </c>
      <c r="V99">
        <v>89460</v>
      </c>
    </row>
    <row r="100" spans="1:22" x14ac:dyDescent="0.25">
      <c r="A100" s="2">
        <v>99</v>
      </c>
      <c r="B100" s="1">
        <v>44236</v>
      </c>
      <c r="C100" s="1" t="str">
        <f t="shared" si="7"/>
        <v>Weekday</v>
      </c>
      <c r="D100" t="s">
        <v>23</v>
      </c>
      <c r="E100" t="str">
        <f t="shared" si="8"/>
        <v>Other</v>
      </c>
      <c r="F100" t="s">
        <v>24</v>
      </c>
      <c r="G100">
        <v>39889</v>
      </c>
      <c r="H100">
        <v>3736884</v>
      </c>
      <c r="I100">
        <v>44731.7</v>
      </c>
      <c r="J100">
        <v>4190</v>
      </c>
      <c r="K100">
        <v>84</v>
      </c>
      <c r="L100">
        <v>13</v>
      </c>
      <c r="M100">
        <f>IFERROR(Marketing_Data[[#This Row],[leads]]/Marketing_Data[[#This Row],[clicks]],0)</f>
        <v>2.0047732696897375E-2</v>
      </c>
      <c r="N100">
        <f>IFERROR(Marketing_Data[[#This Row],[clicks]]/Marketing_Data[[#This Row],[impressions]],0)</f>
        <v>1.121255034943552E-3</v>
      </c>
      <c r="O100">
        <f>IFERROR(Marketing_Data[[#This Row],[orders]]/Marketing_Data[[#This Row],[leads]],0)</f>
        <v>0.15476190476190477</v>
      </c>
      <c r="P100">
        <f>IFERROR(Marketing_Data[[#This Row],[revenue]]/Marketing_Data[[#This Row],[orders]],0)</f>
        <v>3943</v>
      </c>
      <c r="Q100">
        <f t="shared" si="9"/>
        <v>10.675823389021479</v>
      </c>
      <c r="R100">
        <f t="shared" si="10"/>
        <v>532.52023809523803</v>
      </c>
      <c r="S100">
        <f t="shared" si="11"/>
        <v>3440.8999999999996</v>
      </c>
      <c r="T100">
        <f t="shared" si="12"/>
        <v>6527.3000000000029</v>
      </c>
      <c r="U100">
        <f t="shared" si="13"/>
        <v>0.14592112528698895</v>
      </c>
      <c r="V100">
        <v>51259</v>
      </c>
    </row>
    <row r="101" spans="1:22" x14ac:dyDescent="0.25">
      <c r="A101" s="2">
        <v>100</v>
      </c>
      <c r="B101" s="1">
        <v>44237</v>
      </c>
      <c r="C101" s="1" t="str">
        <f t="shared" si="7"/>
        <v>Weekday</v>
      </c>
      <c r="D101" t="s">
        <v>11</v>
      </c>
      <c r="E101" t="str">
        <f t="shared" si="8"/>
        <v>Tier 1</v>
      </c>
      <c r="F101" t="s">
        <v>12</v>
      </c>
      <c r="G101">
        <v>349043</v>
      </c>
      <c r="H101">
        <v>961800</v>
      </c>
      <c r="I101">
        <v>43386.400000000001</v>
      </c>
      <c r="J101">
        <v>4809</v>
      </c>
      <c r="K101">
        <v>96</v>
      </c>
      <c r="L101">
        <v>8</v>
      </c>
      <c r="M101">
        <f>IFERROR(Marketing_Data[[#This Row],[leads]]/Marketing_Data[[#This Row],[clicks]],0)</f>
        <v>1.9962570180910792E-2</v>
      </c>
      <c r="N101">
        <f>IFERROR(Marketing_Data[[#This Row],[clicks]]/Marketing_Data[[#This Row],[impressions]],0)</f>
        <v>5.0000000000000001E-3</v>
      </c>
      <c r="O101">
        <f>IFERROR(Marketing_Data[[#This Row],[orders]]/Marketing_Data[[#This Row],[leads]],0)</f>
        <v>8.3333333333333329E-2</v>
      </c>
      <c r="P101">
        <f>IFERROR(Marketing_Data[[#This Row],[revenue]]/Marketing_Data[[#This Row],[orders]],0)</f>
        <v>5300</v>
      </c>
      <c r="Q101">
        <f t="shared" si="9"/>
        <v>9.0219172385111257</v>
      </c>
      <c r="R101">
        <f t="shared" si="10"/>
        <v>451.94166666666666</v>
      </c>
      <c r="S101">
        <f t="shared" si="11"/>
        <v>5423.3</v>
      </c>
      <c r="T101">
        <f t="shared" si="12"/>
        <v>-986.40000000000146</v>
      </c>
      <c r="U101">
        <f t="shared" si="13"/>
        <v>-2.2735235004517577E-2</v>
      </c>
      <c r="V101">
        <v>42400</v>
      </c>
    </row>
    <row r="102" spans="1:22" x14ac:dyDescent="0.25">
      <c r="A102" s="2">
        <v>101</v>
      </c>
      <c r="B102" s="1">
        <v>44237</v>
      </c>
      <c r="C102" s="1" t="str">
        <f t="shared" si="7"/>
        <v>Weekday</v>
      </c>
      <c r="D102" t="s">
        <v>25</v>
      </c>
      <c r="E102" t="str">
        <f t="shared" si="8"/>
        <v>Tier 2</v>
      </c>
      <c r="F102" t="s">
        <v>12</v>
      </c>
      <c r="G102">
        <v>348934</v>
      </c>
      <c r="H102">
        <v>852250</v>
      </c>
      <c r="I102">
        <v>43865.9</v>
      </c>
      <c r="J102">
        <v>6596</v>
      </c>
      <c r="K102">
        <v>132</v>
      </c>
      <c r="L102">
        <v>7</v>
      </c>
      <c r="M102">
        <f>IFERROR(Marketing_Data[[#This Row],[leads]]/Marketing_Data[[#This Row],[clicks]],0)</f>
        <v>2.0012128562765311E-2</v>
      </c>
      <c r="N102">
        <f>IFERROR(Marketing_Data[[#This Row],[clicks]]/Marketing_Data[[#This Row],[impressions]],0)</f>
        <v>7.7395130536814316E-3</v>
      </c>
      <c r="O102">
        <f>IFERROR(Marketing_Data[[#This Row],[orders]]/Marketing_Data[[#This Row],[leads]],0)</f>
        <v>5.3030303030303032E-2</v>
      </c>
      <c r="P102">
        <f>IFERROR(Marketing_Data[[#This Row],[revenue]]/Marketing_Data[[#This Row],[orders]],0)</f>
        <v>4981</v>
      </c>
      <c r="Q102">
        <f t="shared" si="9"/>
        <v>6.6503790175864159</v>
      </c>
      <c r="R102">
        <f t="shared" si="10"/>
        <v>332.31742424242424</v>
      </c>
      <c r="S102">
        <f t="shared" si="11"/>
        <v>6266.5571428571429</v>
      </c>
      <c r="T102">
        <f t="shared" si="12"/>
        <v>-8998.9000000000015</v>
      </c>
      <c r="U102">
        <f t="shared" si="13"/>
        <v>-0.20514568263731056</v>
      </c>
      <c r="V102">
        <v>34867</v>
      </c>
    </row>
    <row r="103" spans="1:22" x14ac:dyDescent="0.25">
      <c r="A103" s="2">
        <v>102</v>
      </c>
      <c r="B103" s="1">
        <v>44237</v>
      </c>
      <c r="C103" s="1" t="str">
        <f t="shared" si="7"/>
        <v>Weekday</v>
      </c>
      <c r="D103" t="s">
        <v>13</v>
      </c>
      <c r="E103" t="str">
        <f t="shared" si="8"/>
        <v>Other</v>
      </c>
      <c r="F103" t="s">
        <v>14</v>
      </c>
      <c r="G103">
        <v>89459845</v>
      </c>
      <c r="H103">
        <v>108748</v>
      </c>
      <c r="I103">
        <v>51883.1</v>
      </c>
      <c r="J103">
        <v>1797</v>
      </c>
      <c r="K103">
        <v>57</v>
      </c>
      <c r="L103">
        <v>11</v>
      </c>
      <c r="M103">
        <f>IFERROR(Marketing_Data[[#This Row],[leads]]/Marketing_Data[[#This Row],[clicks]],0)</f>
        <v>3.1719532554257093E-2</v>
      </c>
      <c r="N103">
        <f>IFERROR(Marketing_Data[[#This Row],[clicks]]/Marketing_Data[[#This Row],[impressions]],0)</f>
        <v>1.6524441828815243E-2</v>
      </c>
      <c r="O103">
        <f>IFERROR(Marketing_Data[[#This Row],[orders]]/Marketing_Data[[#This Row],[leads]],0)</f>
        <v>0.19298245614035087</v>
      </c>
      <c r="P103">
        <f>IFERROR(Marketing_Data[[#This Row],[revenue]]/Marketing_Data[[#This Row],[orders]],0)</f>
        <v>7884</v>
      </c>
      <c r="Q103">
        <f t="shared" si="9"/>
        <v>28.872064552031162</v>
      </c>
      <c r="R103">
        <f t="shared" si="10"/>
        <v>910.22982456140346</v>
      </c>
      <c r="S103">
        <f t="shared" si="11"/>
        <v>4716.6454545454544</v>
      </c>
      <c r="T103">
        <f t="shared" si="12"/>
        <v>34840.9</v>
      </c>
      <c r="U103">
        <f t="shared" si="13"/>
        <v>0.67152695193617962</v>
      </c>
      <c r="V103">
        <v>86724</v>
      </c>
    </row>
    <row r="104" spans="1:22" x14ac:dyDescent="0.25">
      <c r="A104" s="2">
        <v>103</v>
      </c>
      <c r="B104" s="1">
        <v>44237</v>
      </c>
      <c r="C104" s="1" t="str">
        <f t="shared" si="7"/>
        <v>Weekday</v>
      </c>
      <c r="D104" t="s">
        <v>15</v>
      </c>
      <c r="E104" t="str">
        <f t="shared" si="8"/>
        <v>Other</v>
      </c>
      <c r="F104" t="s">
        <v>14</v>
      </c>
      <c r="G104">
        <v>127823</v>
      </c>
      <c r="H104">
        <v>797238</v>
      </c>
      <c r="I104">
        <v>67577.8</v>
      </c>
      <c r="J104">
        <v>4797</v>
      </c>
      <c r="K104">
        <v>154</v>
      </c>
      <c r="L104">
        <v>19</v>
      </c>
      <c r="M104">
        <f>IFERROR(Marketing_Data[[#This Row],[leads]]/Marketing_Data[[#This Row],[clicks]],0)</f>
        <v>3.2103397957056495E-2</v>
      </c>
      <c r="N104">
        <f>IFERROR(Marketing_Data[[#This Row],[clicks]]/Marketing_Data[[#This Row],[impressions]],0)</f>
        <v>6.0170237745817432E-3</v>
      </c>
      <c r="O104">
        <f>IFERROR(Marketing_Data[[#This Row],[orders]]/Marketing_Data[[#This Row],[leads]],0)</f>
        <v>0.12337662337662338</v>
      </c>
      <c r="P104">
        <f>IFERROR(Marketing_Data[[#This Row],[revenue]]/Marketing_Data[[#This Row],[orders]],0)</f>
        <v>2242</v>
      </c>
      <c r="Q104">
        <f t="shared" si="9"/>
        <v>14.087513028976444</v>
      </c>
      <c r="R104">
        <f t="shared" si="10"/>
        <v>438.81688311688316</v>
      </c>
      <c r="S104">
        <f t="shared" si="11"/>
        <v>3556.726315789474</v>
      </c>
      <c r="T104">
        <f t="shared" si="12"/>
        <v>-24979.800000000003</v>
      </c>
      <c r="U104">
        <f t="shared" si="13"/>
        <v>-0.36964506095196947</v>
      </c>
      <c r="V104">
        <v>42598</v>
      </c>
    </row>
    <row r="105" spans="1:22" x14ac:dyDescent="0.25">
      <c r="A105" s="2">
        <v>104</v>
      </c>
      <c r="B105" s="1">
        <v>44237</v>
      </c>
      <c r="C105" s="1" t="str">
        <f t="shared" si="7"/>
        <v>Weekday</v>
      </c>
      <c r="D105" t="s">
        <v>16</v>
      </c>
      <c r="E105" t="str">
        <f t="shared" si="8"/>
        <v>Other</v>
      </c>
      <c r="F105" t="s">
        <v>17</v>
      </c>
      <c r="G105">
        <v>10934</v>
      </c>
      <c r="H105">
        <v>1469962</v>
      </c>
      <c r="I105">
        <v>19831.400000000001</v>
      </c>
      <c r="J105">
        <v>8998</v>
      </c>
      <c r="K105">
        <v>80</v>
      </c>
      <c r="L105">
        <v>16</v>
      </c>
      <c r="M105">
        <f>IFERROR(Marketing_Data[[#This Row],[leads]]/Marketing_Data[[#This Row],[clicks]],0)</f>
        <v>8.8908646365859073E-3</v>
      </c>
      <c r="N105">
        <f>IFERROR(Marketing_Data[[#This Row],[clicks]]/Marketing_Data[[#This Row],[impressions]],0)</f>
        <v>6.121246671682669E-3</v>
      </c>
      <c r="O105">
        <f>IFERROR(Marketing_Data[[#This Row],[orders]]/Marketing_Data[[#This Row],[leads]],0)</f>
        <v>0.2</v>
      </c>
      <c r="P105">
        <f>IFERROR(Marketing_Data[[#This Row],[revenue]]/Marketing_Data[[#This Row],[orders]],0)</f>
        <v>8173</v>
      </c>
      <c r="Q105">
        <f t="shared" si="9"/>
        <v>2.2039786619248725</v>
      </c>
      <c r="R105">
        <f t="shared" si="10"/>
        <v>247.89250000000001</v>
      </c>
      <c r="S105">
        <f t="shared" si="11"/>
        <v>1239.4625000000001</v>
      </c>
      <c r="T105">
        <f t="shared" si="12"/>
        <v>110936.6</v>
      </c>
      <c r="U105">
        <f t="shared" si="13"/>
        <v>5.593987313049003</v>
      </c>
      <c r="V105">
        <v>130768</v>
      </c>
    </row>
    <row r="106" spans="1:22" x14ac:dyDescent="0.25">
      <c r="A106" s="2">
        <v>105</v>
      </c>
      <c r="B106" s="1">
        <v>44237</v>
      </c>
      <c r="C106" s="1" t="str">
        <f t="shared" si="7"/>
        <v>Weekday</v>
      </c>
      <c r="D106" t="s">
        <v>18</v>
      </c>
      <c r="E106" t="str">
        <f t="shared" si="8"/>
        <v>Tier 1</v>
      </c>
      <c r="F106" t="s">
        <v>12</v>
      </c>
      <c r="G106">
        <v>9034945</v>
      </c>
      <c r="H106">
        <v>3858193</v>
      </c>
      <c r="I106">
        <v>38890.300000000003</v>
      </c>
      <c r="J106">
        <v>5406</v>
      </c>
      <c r="K106">
        <v>186</v>
      </c>
      <c r="L106">
        <v>14</v>
      </c>
      <c r="M106">
        <f>IFERROR(Marketing_Data[[#This Row],[leads]]/Marketing_Data[[#This Row],[clicks]],0)</f>
        <v>3.4406215316315207E-2</v>
      </c>
      <c r="N106">
        <f>IFERROR(Marketing_Data[[#This Row],[clicks]]/Marketing_Data[[#This Row],[impressions]],0)</f>
        <v>1.4011740729403636E-3</v>
      </c>
      <c r="O106">
        <f>IFERROR(Marketing_Data[[#This Row],[orders]]/Marketing_Data[[#This Row],[leads]],0)</f>
        <v>7.5268817204301078E-2</v>
      </c>
      <c r="P106">
        <f>IFERROR(Marketing_Data[[#This Row],[revenue]]/Marketing_Data[[#This Row],[orders]],0)</f>
        <v>5981</v>
      </c>
      <c r="Q106">
        <f t="shared" si="9"/>
        <v>7.1939141694413618</v>
      </c>
      <c r="R106">
        <f t="shared" si="10"/>
        <v>209.08763440860216</v>
      </c>
      <c r="S106">
        <f t="shared" si="11"/>
        <v>2777.8785714285718</v>
      </c>
      <c r="T106">
        <f t="shared" si="12"/>
        <v>44843.7</v>
      </c>
      <c r="U106">
        <f t="shared" si="13"/>
        <v>1.1530818738862902</v>
      </c>
      <c r="V106">
        <v>83734</v>
      </c>
    </row>
    <row r="107" spans="1:22" x14ac:dyDescent="0.25">
      <c r="A107" s="2">
        <v>106</v>
      </c>
      <c r="B107" s="1">
        <v>44237</v>
      </c>
      <c r="C107" s="1" t="str">
        <f t="shared" si="7"/>
        <v>Weekday</v>
      </c>
      <c r="D107" t="s">
        <v>19</v>
      </c>
      <c r="E107" t="str">
        <f t="shared" si="8"/>
        <v>Tier 2</v>
      </c>
      <c r="F107" t="s">
        <v>12</v>
      </c>
      <c r="G107">
        <v>983498</v>
      </c>
      <c r="H107">
        <v>2040000</v>
      </c>
      <c r="I107">
        <v>14147.9</v>
      </c>
      <c r="J107">
        <v>10200</v>
      </c>
      <c r="K107">
        <v>395</v>
      </c>
      <c r="L107">
        <v>4</v>
      </c>
      <c r="M107">
        <f>IFERROR(Marketing_Data[[#This Row],[leads]]/Marketing_Data[[#This Row],[clicks]],0)</f>
        <v>3.8725490196078433E-2</v>
      </c>
      <c r="N107">
        <f>IFERROR(Marketing_Data[[#This Row],[clicks]]/Marketing_Data[[#This Row],[impressions]],0)</f>
        <v>5.0000000000000001E-3</v>
      </c>
      <c r="O107">
        <f>IFERROR(Marketing_Data[[#This Row],[orders]]/Marketing_Data[[#This Row],[leads]],0)</f>
        <v>1.0126582278481013E-2</v>
      </c>
      <c r="P107">
        <f>IFERROR(Marketing_Data[[#This Row],[revenue]]/Marketing_Data[[#This Row],[orders]],0)</f>
        <v>1981</v>
      </c>
      <c r="Q107">
        <f t="shared" si="9"/>
        <v>1.3870490196078431</v>
      </c>
      <c r="R107">
        <f t="shared" si="10"/>
        <v>35.817468354430382</v>
      </c>
      <c r="S107">
        <f t="shared" si="11"/>
        <v>3536.9749999999999</v>
      </c>
      <c r="T107">
        <f t="shared" si="12"/>
        <v>-6223.9</v>
      </c>
      <c r="U107">
        <f t="shared" si="13"/>
        <v>-0.43991687812325503</v>
      </c>
      <c r="V107">
        <v>7924</v>
      </c>
    </row>
    <row r="108" spans="1:22" x14ac:dyDescent="0.25">
      <c r="A108" s="2">
        <v>107</v>
      </c>
      <c r="B108" s="1">
        <v>44237</v>
      </c>
      <c r="C108" s="1" t="str">
        <f t="shared" si="7"/>
        <v>Weekday</v>
      </c>
      <c r="D108" t="s">
        <v>20</v>
      </c>
      <c r="E108" t="str">
        <f t="shared" si="8"/>
        <v>Other</v>
      </c>
      <c r="F108" t="s">
        <v>12</v>
      </c>
      <c r="G108">
        <v>4387490</v>
      </c>
      <c r="H108">
        <v>18399</v>
      </c>
      <c r="I108">
        <v>12713</v>
      </c>
      <c r="J108">
        <v>599</v>
      </c>
      <c r="K108">
        <v>22</v>
      </c>
      <c r="L108">
        <v>5</v>
      </c>
      <c r="M108">
        <f>IFERROR(Marketing_Data[[#This Row],[leads]]/Marketing_Data[[#This Row],[clicks]],0)</f>
        <v>3.6727879799666109E-2</v>
      </c>
      <c r="N108">
        <f>IFERROR(Marketing_Data[[#This Row],[clicks]]/Marketing_Data[[#This Row],[impressions]],0)</f>
        <v>3.2556117180281535E-2</v>
      </c>
      <c r="O108">
        <f>IFERROR(Marketing_Data[[#This Row],[orders]]/Marketing_Data[[#This Row],[leads]],0)</f>
        <v>0.22727272727272727</v>
      </c>
      <c r="P108">
        <f>IFERROR(Marketing_Data[[#This Row],[revenue]]/Marketing_Data[[#This Row],[orders]],0)</f>
        <v>5413</v>
      </c>
      <c r="Q108">
        <f t="shared" si="9"/>
        <v>21.223706176961603</v>
      </c>
      <c r="R108">
        <f t="shared" si="10"/>
        <v>577.86363636363637</v>
      </c>
      <c r="S108">
        <f t="shared" si="11"/>
        <v>2542.6</v>
      </c>
      <c r="T108">
        <f t="shared" si="12"/>
        <v>14352</v>
      </c>
      <c r="U108">
        <f t="shared" si="13"/>
        <v>1.1289231495319751</v>
      </c>
      <c r="V108">
        <v>27065</v>
      </c>
    </row>
    <row r="109" spans="1:22" x14ac:dyDescent="0.25">
      <c r="A109" s="2">
        <v>108</v>
      </c>
      <c r="B109" s="1">
        <v>44237</v>
      </c>
      <c r="C109" s="1" t="str">
        <f t="shared" si="7"/>
        <v>Weekday</v>
      </c>
      <c r="D109" t="s">
        <v>21</v>
      </c>
      <c r="E109" t="str">
        <f t="shared" si="8"/>
        <v>Other</v>
      </c>
      <c r="F109" t="s">
        <v>12</v>
      </c>
      <c r="G109">
        <v>544756</v>
      </c>
      <c r="H109">
        <v>321713</v>
      </c>
      <c r="I109">
        <v>131236</v>
      </c>
      <c r="J109">
        <v>2396</v>
      </c>
      <c r="K109">
        <v>88</v>
      </c>
      <c r="L109">
        <v>15</v>
      </c>
      <c r="M109">
        <f>IFERROR(Marketing_Data[[#This Row],[leads]]/Marketing_Data[[#This Row],[clicks]],0)</f>
        <v>3.6727879799666109E-2</v>
      </c>
      <c r="N109">
        <f>IFERROR(Marketing_Data[[#This Row],[clicks]]/Marketing_Data[[#This Row],[impressions]],0)</f>
        <v>7.4476318955093513E-3</v>
      </c>
      <c r="O109">
        <f>IFERROR(Marketing_Data[[#This Row],[orders]]/Marketing_Data[[#This Row],[leads]],0)</f>
        <v>0.17045454545454544</v>
      </c>
      <c r="P109">
        <f>IFERROR(Marketing_Data[[#This Row],[revenue]]/Marketing_Data[[#This Row],[orders]],0)</f>
        <v>981</v>
      </c>
      <c r="Q109">
        <f t="shared" si="9"/>
        <v>54.772954924874789</v>
      </c>
      <c r="R109">
        <f t="shared" si="10"/>
        <v>1491.3181818181818</v>
      </c>
      <c r="S109">
        <f t="shared" si="11"/>
        <v>8749.0666666666675</v>
      </c>
      <c r="T109">
        <f t="shared" si="12"/>
        <v>-116521</v>
      </c>
      <c r="U109">
        <f t="shared" si="13"/>
        <v>-0.88787375415282388</v>
      </c>
      <c r="V109">
        <v>14715</v>
      </c>
    </row>
    <row r="110" spans="1:22" x14ac:dyDescent="0.25">
      <c r="A110" s="2">
        <v>109</v>
      </c>
      <c r="B110" s="1">
        <v>44237</v>
      </c>
      <c r="C110" s="1" t="str">
        <f t="shared" si="7"/>
        <v>Weekday</v>
      </c>
      <c r="D110" t="s">
        <v>22</v>
      </c>
      <c r="E110" t="str">
        <f t="shared" si="8"/>
        <v>Other</v>
      </c>
      <c r="F110" t="s">
        <v>17</v>
      </c>
      <c r="G110">
        <v>374754</v>
      </c>
      <c r="H110">
        <v>489728</v>
      </c>
      <c r="I110">
        <v>126901</v>
      </c>
      <c r="J110">
        <v>6005</v>
      </c>
      <c r="K110">
        <v>187</v>
      </c>
      <c r="L110">
        <v>34</v>
      </c>
      <c r="M110">
        <f>IFERROR(Marketing_Data[[#This Row],[leads]]/Marketing_Data[[#This Row],[clicks]],0)</f>
        <v>3.1140716069941714E-2</v>
      </c>
      <c r="N110">
        <f>IFERROR(Marketing_Data[[#This Row],[clicks]]/Marketing_Data[[#This Row],[impressions]],0)</f>
        <v>1.2261908651332984E-2</v>
      </c>
      <c r="O110">
        <f>IFERROR(Marketing_Data[[#This Row],[orders]]/Marketing_Data[[#This Row],[leads]],0)</f>
        <v>0.18181818181818182</v>
      </c>
      <c r="P110">
        <f>IFERROR(Marketing_Data[[#This Row],[revenue]]/Marketing_Data[[#This Row],[orders]],0)</f>
        <v>4232</v>
      </c>
      <c r="Q110">
        <f t="shared" si="9"/>
        <v>21.132556203164029</v>
      </c>
      <c r="R110">
        <f t="shared" si="10"/>
        <v>678.61497326203209</v>
      </c>
      <c r="S110">
        <f t="shared" si="11"/>
        <v>3732.3823529411766</v>
      </c>
      <c r="T110">
        <f t="shared" si="12"/>
        <v>16987</v>
      </c>
      <c r="U110">
        <f t="shared" si="13"/>
        <v>0.13386025326829576</v>
      </c>
      <c r="V110">
        <v>143888</v>
      </c>
    </row>
    <row r="111" spans="1:22" x14ac:dyDescent="0.25">
      <c r="A111" s="2">
        <v>110</v>
      </c>
      <c r="B111" s="1">
        <v>44237</v>
      </c>
      <c r="C111" s="1" t="str">
        <f t="shared" si="7"/>
        <v>Weekday</v>
      </c>
      <c r="D111" t="s">
        <v>23</v>
      </c>
      <c r="E111" t="str">
        <f t="shared" si="8"/>
        <v>Other</v>
      </c>
      <c r="F111" t="s">
        <v>24</v>
      </c>
      <c r="G111">
        <v>39889</v>
      </c>
      <c r="H111">
        <v>5219501</v>
      </c>
      <c r="I111">
        <v>179519</v>
      </c>
      <c r="J111">
        <v>8391</v>
      </c>
      <c r="K111">
        <v>302</v>
      </c>
      <c r="L111">
        <v>60</v>
      </c>
      <c r="M111">
        <f>IFERROR(Marketing_Data[[#This Row],[leads]]/Marketing_Data[[#This Row],[clicks]],0)</f>
        <v>3.5990942676677393E-2</v>
      </c>
      <c r="N111">
        <f>IFERROR(Marketing_Data[[#This Row],[clicks]]/Marketing_Data[[#This Row],[impressions]],0)</f>
        <v>1.6076249434572385E-3</v>
      </c>
      <c r="O111">
        <f>IFERROR(Marketing_Data[[#This Row],[orders]]/Marketing_Data[[#This Row],[leads]],0)</f>
        <v>0.19867549668874171</v>
      </c>
      <c r="P111">
        <f>IFERROR(Marketing_Data[[#This Row],[revenue]]/Marketing_Data[[#This Row],[orders]],0)</f>
        <v>3278</v>
      </c>
      <c r="Q111">
        <f t="shared" si="9"/>
        <v>21.394231915147181</v>
      </c>
      <c r="R111">
        <f t="shared" si="10"/>
        <v>594.43377483443703</v>
      </c>
      <c r="S111">
        <f t="shared" si="11"/>
        <v>2991.9833333333331</v>
      </c>
      <c r="T111">
        <f t="shared" si="12"/>
        <v>17161</v>
      </c>
      <c r="U111">
        <f t="shared" si="13"/>
        <v>9.5594338203755597E-2</v>
      </c>
      <c r="V111">
        <v>196680</v>
      </c>
    </row>
    <row r="112" spans="1:22" x14ac:dyDescent="0.25">
      <c r="A112" s="2">
        <v>111</v>
      </c>
      <c r="B112" s="1">
        <v>44238</v>
      </c>
      <c r="C112" s="1" t="str">
        <f t="shared" si="7"/>
        <v>Weekday</v>
      </c>
      <c r="D112" t="s">
        <v>11</v>
      </c>
      <c r="E112" t="str">
        <f t="shared" si="8"/>
        <v>Tier 1</v>
      </c>
      <c r="F112" t="s">
        <v>12</v>
      </c>
      <c r="G112">
        <v>349043</v>
      </c>
      <c r="H112">
        <v>1061233</v>
      </c>
      <c r="I112">
        <v>105681</v>
      </c>
      <c r="J112">
        <v>7206</v>
      </c>
      <c r="K112">
        <v>144</v>
      </c>
      <c r="L112">
        <v>23</v>
      </c>
      <c r="M112">
        <f>IFERROR(Marketing_Data[[#This Row],[leads]]/Marketing_Data[[#This Row],[clicks]],0)</f>
        <v>1.9983347210657785E-2</v>
      </c>
      <c r="N112">
        <f>IFERROR(Marketing_Data[[#This Row],[clicks]]/Marketing_Data[[#This Row],[impressions]],0)</f>
        <v>6.7902147784699492E-3</v>
      </c>
      <c r="O112">
        <f>IFERROR(Marketing_Data[[#This Row],[orders]]/Marketing_Data[[#This Row],[leads]],0)</f>
        <v>0.15972222222222221</v>
      </c>
      <c r="P112">
        <f>IFERROR(Marketing_Data[[#This Row],[revenue]]/Marketing_Data[[#This Row],[orders]],0)</f>
        <v>4575</v>
      </c>
      <c r="Q112">
        <f t="shared" si="9"/>
        <v>14.665695253955038</v>
      </c>
      <c r="R112">
        <f t="shared" si="10"/>
        <v>733.89583333333337</v>
      </c>
      <c r="S112">
        <f t="shared" si="11"/>
        <v>4594.826086956522</v>
      </c>
      <c r="T112">
        <f t="shared" si="12"/>
        <v>-456</v>
      </c>
      <c r="U112">
        <f t="shared" si="13"/>
        <v>-4.3148721151389556E-3</v>
      </c>
      <c r="V112">
        <v>105225</v>
      </c>
    </row>
    <row r="113" spans="1:22" x14ac:dyDescent="0.25">
      <c r="A113" s="2">
        <v>112</v>
      </c>
      <c r="B113" s="1">
        <v>44238</v>
      </c>
      <c r="C113" s="1" t="str">
        <f t="shared" si="7"/>
        <v>Weekday</v>
      </c>
      <c r="D113" t="s">
        <v>25</v>
      </c>
      <c r="E113" t="str">
        <f t="shared" si="8"/>
        <v>Tier 2</v>
      </c>
      <c r="F113" t="s">
        <v>12</v>
      </c>
      <c r="G113">
        <v>348934</v>
      </c>
      <c r="H113">
        <v>4564542</v>
      </c>
      <c r="I113">
        <v>188516</v>
      </c>
      <c r="J113">
        <v>9895</v>
      </c>
      <c r="K113">
        <v>304</v>
      </c>
      <c r="L113">
        <v>28</v>
      </c>
      <c r="M113">
        <f>IFERROR(Marketing_Data[[#This Row],[leads]]/Marketing_Data[[#This Row],[clicks]],0)</f>
        <v>3.0722587165234967E-2</v>
      </c>
      <c r="N113">
        <f>IFERROR(Marketing_Data[[#This Row],[clicks]]/Marketing_Data[[#This Row],[impressions]],0)</f>
        <v>2.1677969005433621E-3</v>
      </c>
      <c r="O113">
        <f>IFERROR(Marketing_Data[[#This Row],[orders]]/Marketing_Data[[#This Row],[leads]],0)</f>
        <v>9.2105263157894732E-2</v>
      </c>
      <c r="P113">
        <f>IFERROR(Marketing_Data[[#This Row],[revenue]]/Marketing_Data[[#This Row],[orders]],0)</f>
        <v>4681</v>
      </c>
      <c r="Q113">
        <f t="shared" si="9"/>
        <v>19.051642243557353</v>
      </c>
      <c r="R113">
        <f t="shared" si="10"/>
        <v>620.11842105263156</v>
      </c>
      <c r="S113">
        <f t="shared" si="11"/>
        <v>6732.7142857142853</v>
      </c>
      <c r="T113">
        <f t="shared" si="12"/>
        <v>-57448</v>
      </c>
      <c r="U113">
        <f t="shared" si="13"/>
        <v>-0.30473805936896603</v>
      </c>
      <c r="V113">
        <v>131068</v>
      </c>
    </row>
    <row r="114" spans="1:22" x14ac:dyDescent="0.25">
      <c r="A114" s="2">
        <v>113</v>
      </c>
      <c r="B114" s="1">
        <v>44238</v>
      </c>
      <c r="C114" s="1" t="str">
        <f t="shared" si="7"/>
        <v>Weekday</v>
      </c>
      <c r="D114" t="s">
        <v>13</v>
      </c>
      <c r="E114" t="str">
        <f t="shared" si="8"/>
        <v>Other</v>
      </c>
      <c r="F114" t="s">
        <v>14</v>
      </c>
      <c r="G114">
        <v>89459845</v>
      </c>
      <c r="H114">
        <v>134600</v>
      </c>
      <c r="I114">
        <v>26220.400000000001</v>
      </c>
      <c r="J114">
        <v>2692</v>
      </c>
      <c r="K114">
        <v>54</v>
      </c>
      <c r="L114">
        <v>6</v>
      </c>
      <c r="M114">
        <f>IFERROR(Marketing_Data[[#This Row],[leads]]/Marketing_Data[[#This Row],[clicks]],0)</f>
        <v>2.0059435364041606E-2</v>
      </c>
      <c r="N114">
        <f>IFERROR(Marketing_Data[[#This Row],[clicks]]/Marketing_Data[[#This Row],[impressions]],0)</f>
        <v>0.02</v>
      </c>
      <c r="O114">
        <f>IFERROR(Marketing_Data[[#This Row],[orders]]/Marketing_Data[[#This Row],[leads]],0)</f>
        <v>0.1111111111111111</v>
      </c>
      <c r="P114">
        <f>IFERROR(Marketing_Data[[#This Row],[revenue]]/Marketing_Data[[#This Row],[orders]],0)</f>
        <v>8165</v>
      </c>
      <c r="Q114">
        <f t="shared" si="9"/>
        <v>9.7401188707280841</v>
      </c>
      <c r="R114">
        <f t="shared" si="10"/>
        <v>485.56296296296301</v>
      </c>
      <c r="S114">
        <f t="shared" si="11"/>
        <v>4370.0666666666666</v>
      </c>
      <c r="T114">
        <f t="shared" si="12"/>
        <v>22769.599999999999</v>
      </c>
      <c r="U114">
        <f t="shared" si="13"/>
        <v>0.86839254931274878</v>
      </c>
      <c r="V114">
        <v>48990</v>
      </c>
    </row>
    <row r="115" spans="1:22" x14ac:dyDescent="0.25">
      <c r="A115" s="2">
        <v>114</v>
      </c>
      <c r="B115" s="1">
        <v>44238</v>
      </c>
      <c r="C115" s="1" t="str">
        <f t="shared" si="7"/>
        <v>Weekday</v>
      </c>
      <c r="D115" t="s">
        <v>15</v>
      </c>
      <c r="E115" t="str">
        <f t="shared" si="8"/>
        <v>Other</v>
      </c>
      <c r="F115" t="s">
        <v>14</v>
      </c>
      <c r="G115">
        <v>127823</v>
      </c>
      <c r="H115">
        <v>1254537</v>
      </c>
      <c r="I115">
        <v>51422.5</v>
      </c>
      <c r="J115">
        <v>7198</v>
      </c>
      <c r="K115">
        <v>144</v>
      </c>
      <c r="L115">
        <v>14</v>
      </c>
      <c r="M115">
        <f>IFERROR(Marketing_Data[[#This Row],[leads]]/Marketing_Data[[#This Row],[clicks]],0)</f>
        <v>2.0005557099194219E-2</v>
      </c>
      <c r="N115">
        <f>IFERROR(Marketing_Data[[#This Row],[clicks]]/Marketing_Data[[#This Row],[impressions]],0)</f>
        <v>5.7375748981496758E-3</v>
      </c>
      <c r="O115">
        <f>IFERROR(Marketing_Data[[#This Row],[orders]]/Marketing_Data[[#This Row],[leads]],0)</f>
        <v>9.7222222222222224E-2</v>
      </c>
      <c r="P115">
        <f>IFERROR(Marketing_Data[[#This Row],[revenue]]/Marketing_Data[[#This Row],[orders]],0)</f>
        <v>2999</v>
      </c>
      <c r="Q115">
        <f t="shared" si="9"/>
        <v>7.1439983328702414</v>
      </c>
      <c r="R115">
        <f t="shared" si="10"/>
        <v>357.10069444444446</v>
      </c>
      <c r="S115">
        <f t="shared" si="11"/>
        <v>3673.0357142857142</v>
      </c>
      <c r="T115">
        <f t="shared" si="12"/>
        <v>-9436.5</v>
      </c>
      <c r="U115">
        <f t="shared" si="13"/>
        <v>-0.18350916427633818</v>
      </c>
      <c r="V115">
        <v>41986</v>
      </c>
    </row>
    <row r="116" spans="1:22" x14ac:dyDescent="0.25">
      <c r="A116" s="2">
        <v>115</v>
      </c>
      <c r="B116" s="1">
        <v>44238</v>
      </c>
      <c r="C116" s="1" t="str">
        <f t="shared" si="7"/>
        <v>Weekday</v>
      </c>
      <c r="D116" t="s">
        <v>16</v>
      </c>
      <c r="E116" t="str">
        <f t="shared" si="8"/>
        <v>Other</v>
      </c>
      <c r="F116" t="s">
        <v>17</v>
      </c>
      <c r="G116">
        <v>10934</v>
      </c>
      <c r="H116">
        <v>1210466</v>
      </c>
      <c r="I116">
        <v>197161</v>
      </c>
      <c r="J116">
        <v>13506</v>
      </c>
      <c r="K116">
        <v>474</v>
      </c>
      <c r="L116">
        <v>95</v>
      </c>
      <c r="M116">
        <f>IFERROR(Marketing_Data[[#This Row],[leads]]/Marketing_Data[[#This Row],[clicks]],0)</f>
        <v>3.5095513105286538E-2</v>
      </c>
      <c r="N116">
        <f>IFERROR(Marketing_Data[[#This Row],[clicks]]/Marketing_Data[[#This Row],[impressions]],0)</f>
        <v>1.1157686378634344E-2</v>
      </c>
      <c r="O116">
        <f>IFERROR(Marketing_Data[[#This Row],[orders]]/Marketing_Data[[#This Row],[leads]],0)</f>
        <v>0.20042194092827004</v>
      </c>
      <c r="P116">
        <f>IFERROR(Marketing_Data[[#This Row],[revenue]]/Marketing_Data[[#This Row],[orders]],0)</f>
        <v>8756</v>
      </c>
      <c r="Q116">
        <f t="shared" si="9"/>
        <v>14.598030504960759</v>
      </c>
      <c r="R116">
        <f t="shared" si="10"/>
        <v>415.95147679324896</v>
      </c>
      <c r="S116">
        <f t="shared" si="11"/>
        <v>2075.378947368421</v>
      </c>
      <c r="T116">
        <f t="shared" si="12"/>
        <v>634659</v>
      </c>
      <c r="U116">
        <f t="shared" si="13"/>
        <v>3.2189885423587827</v>
      </c>
      <c r="V116">
        <v>831820</v>
      </c>
    </row>
    <row r="117" spans="1:22" x14ac:dyDescent="0.25">
      <c r="A117" s="2">
        <v>116</v>
      </c>
      <c r="B117" s="1">
        <v>44238</v>
      </c>
      <c r="C117" s="1" t="str">
        <f t="shared" si="7"/>
        <v>Weekday</v>
      </c>
      <c r="D117" t="s">
        <v>18</v>
      </c>
      <c r="E117" t="str">
        <f t="shared" si="8"/>
        <v>Tier 1</v>
      </c>
      <c r="F117" t="s">
        <v>12</v>
      </c>
      <c r="G117">
        <v>9034945</v>
      </c>
      <c r="H117">
        <v>2224531</v>
      </c>
      <c r="I117">
        <v>348.99</v>
      </c>
      <c r="J117">
        <v>8106</v>
      </c>
      <c r="K117">
        <v>1</v>
      </c>
      <c r="L117">
        <v>0</v>
      </c>
      <c r="M117">
        <f>IFERROR(Marketing_Data[[#This Row],[leads]]/Marketing_Data[[#This Row],[clicks]],0)</f>
        <v>1.233654083395016E-4</v>
      </c>
      <c r="N117">
        <f>IFERROR(Marketing_Data[[#This Row],[clicks]]/Marketing_Data[[#This Row],[impressions]],0)</f>
        <v>3.6439141553882594E-3</v>
      </c>
      <c r="O117">
        <f>IFERROR(Marketing_Data[[#This Row],[orders]]/Marketing_Data[[#This Row],[leads]],0)</f>
        <v>0</v>
      </c>
      <c r="P117">
        <f>IFERROR(Marketing_Data[[#This Row],[revenue]]/Marketing_Data[[#This Row],[orders]],0)</f>
        <v>0</v>
      </c>
      <c r="Q117">
        <f t="shared" si="9"/>
        <v>4.3053293856402663E-2</v>
      </c>
      <c r="R117">
        <f t="shared" si="10"/>
        <v>348.99</v>
      </c>
      <c r="S117">
        <f t="shared" si="11"/>
        <v>0</v>
      </c>
      <c r="T117">
        <f t="shared" si="12"/>
        <v>-348.99</v>
      </c>
      <c r="U117">
        <f t="shared" si="13"/>
        <v>-1</v>
      </c>
      <c r="V117">
        <v>0</v>
      </c>
    </row>
    <row r="118" spans="1:22" x14ac:dyDescent="0.25">
      <c r="A118" s="2">
        <v>117</v>
      </c>
      <c r="B118" s="1">
        <v>44238</v>
      </c>
      <c r="C118" s="1" t="str">
        <f t="shared" si="7"/>
        <v>Weekday</v>
      </c>
      <c r="D118" t="s">
        <v>19</v>
      </c>
      <c r="E118" t="str">
        <f t="shared" si="8"/>
        <v>Tier 2</v>
      </c>
      <c r="F118" t="s">
        <v>12</v>
      </c>
      <c r="G118">
        <v>983498</v>
      </c>
      <c r="H118">
        <v>3058200</v>
      </c>
      <c r="I118">
        <v>4138.7299999999996</v>
      </c>
      <c r="J118">
        <v>15291</v>
      </c>
      <c r="K118">
        <v>114</v>
      </c>
      <c r="L118">
        <v>1</v>
      </c>
      <c r="M118">
        <f>IFERROR(Marketing_Data[[#This Row],[leads]]/Marketing_Data[[#This Row],[clicks]],0)</f>
        <v>7.4553659015106927E-3</v>
      </c>
      <c r="N118">
        <f>IFERROR(Marketing_Data[[#This Row],[clicks]]/Marketing_Data[[#This Row],[impressions]],0)</f>
        <v>5.0000000000000001E-3</v>
      </c>
      <c r="O118">
        <f>IFERROR(Marketing_Data[[#This Row],[orders]]/Marketing_Data[[#This Row],[leads]],0)</f>
        <v>8.771929824561403E-3</v>
      </c>
      <c r="P118">
        <f>IFERROR(Marketing_Data[[#This Row],[revenue]]/Marketing_Data[[#This Row],[orders]],0)</f>
        <v>2771</v>
      </c>
      <c r="Q118">
        <f t="shared" si="9"/>
        <v>0.27066444313648547</v>
      </c>
      <c r="R118">
        <f t="shared" si="10"/>
        <v>36.304649122807014</v>
      </c>
      <c r="S118">
        <f t="shared" si="11"/>
        <v>4138.7299999999996</v>
      </c>
      <c r="T118">
        <f t="shared" si="12"/>
        <v>-1367.7299999999996</v>
      </c>
      <c r="U118">
        <f t="shared" si="13"/>
        <v>-0.33047094156903195</v>
      </c>
      <c r="V118">
        <v>2771</v>
      </c>
    </row>
    <row r="119" spans="1:22" x14ac:dyDescent="0.25">
      <c r="A119" s="2">
        <v>118</v>
      </c>
      <c r="B119" s="1">
        <v>44238</v>
      </c>
      <c r="C119" s="1" t="str">
        <f t="shared" si="7"/>
        <v>Weekday</v>
      </c>
      <c r="D119" t="s">
        <v>20</v>
      </c>
      <c r="E119" t="str">
        <f t="shared" si="8"/>
        <v>Other</v>
      </c>
      <c r="F119" t="s">
        <v>12</v>
      </c>
      <c r="G119">
        <v>4387490</v>
      </c>
      <c r="H119">
        <v>26774</v>
      </c>
      <c r="I119">
        <v>17711.099999999999</v>
      </c>
      <c r="J119">
        <v>893</v>
      </c>
      <c r="K119">
        <v>27</v>
      </c>
      <c r="L119">
        <v>6</v>
      </c>
      <c r="M119">
        <f>IFERROR(Marketing_Data[[#This Row],[leads]]/Marketing_Data[[#This Row],[clicks]],0)</f>
        <v>3.0235162374020158E-2</v>
      </c>
      <c r="N119">
        <f>IFERROR(Marketing_Data[[#This Row],[clicks]]/Marketing_Data[[#This Row],[impressions]],0)</f>
        <v>3.3353253156046911E-2</v>
      </c>
      <c r="O119">
        <f>IFERROR(Marketing_Data[[#This Row],[orders]]/Marketing_Data[[#This Row],[leads]],0)</f>
        <v>0.22222222222222221</v>
      </c>
      <c r="P119">
        <f>IFERROR(Marketing_Data[[#This Row],[revenue]]/Marketing_Data[[#This Row],[orders]],0)</f>
        <v>4981</v>
      </c>
      <c r="Q119">
        <f t="shared" si="9"/>
        <v>19.833258678611422</v>
      </c>
      <c r="R119">
        <f t="shared" si="10"/>
        <v>655.96666666666658</v>
      </c>
      <c r="S119">
        <f t="shared" si="11"/>
        <v>2951.85</v>
      </c>
      <c r="T119">
        <f t="shared" si="12"/>
        <v>12174.900000000001</v>
      </c>
      <c r="U119">
        <f t="shared" si="13"/>
        <v>0.68741636600775802</v>
      </c>
      <c r="V119">
        <v>29886</v>
      </c>
    </row>
    <row r="120" spans="1:22" x14ac:dyDescent="0.25">
      <c r="A120" s="2">
        <v>119</v>
      </c>
      <c r="B120" s="1">
        <v>44238</v>
      </c>
      <c r="C120" s="1" t="str">
        <f t="shared" si="7"/>
        <v>Weekday</v>
      </c>
      <c r="D120" t="s">
        <v>21</v>
      </c>
      <c r="E120" t="str">
        <f t="shared" si="8"/>
        <v>Other</v>
      </c>
      <c r="F120" t="s">
        <v>12</v>
      </c>
      <c r="G120">
        <v>544756</v>
      </c>
      <c r="H120">
        <v>359500</v>
      </c>
      <c r="I120">
        <v>6171.15</v>
      </c>
      <c r="J120">
        <v>3595</v>
      </c>
      <c r="K120">
        <v>5</v>
      </c>
      <c r="L120">
        <v>1</v>
      </c>
      <c r="M120">
        <f>IFERROR(Marketing_Data[[#This Row],[leads]]/Marketing_Data[[#This Row],[clicks]],0)</f>
        <v>1.3908205841446453E-3</v>
      </c>
      <c r="N120">
        <f>IFERROR(Marketing_Data[[#This Row],[clicks]]/Marketing_Data[[#This Row],[impressions]],0)</f>
        <v>0.01</v>
      </c>
      <c r="O120">
        <f>IFERROR(Marketing_Data[[#This Row],[orders]]/Marketing_Data[[#This Row],[leads]],0)</f>
        <v>0.2</v>
      </c>
      <c r="P120">
        <f>IFERROR(Marketing_Data[[#This Row],[revenue]]/Marketing_Data[[#This Row],[orders]],0)</f>
        <v>677</v>
      </c>
      <c r="Q120">
        <f t="shared" si="9"/>
        <v>1.7165924895688456</v>
      </c>
      <c r="R120">
        <f t="shared" si="10"/>
        <v>1234.23</v>
      </c>
      <c r="S120">
        <f t="shared" si="11"/>
        <v>6171.15</v>
      </c>
      <c r="T120">
        <f t="shared" si="12"/>
        <v>-5494.15</v>
      </c>
      <c r="U120">
        <f t="shared" si="13"/>
        <v>-0.89029597400808602</v>
      </c>
      <c r="V120">
        <v>677</v>
      </c>
    </row>
    <row r="121" spans="1:22" x14ac:dyDescent="0.25">
      <c r="A121" s="2">
        <v>120</v>
      </c>
      <c r="B121" s="1">
        <v>44238</v>
      </c>
      <c r="C121" s="1" t="str">
        <f t="shared" si="7"/>
        <v>Weekday</v>
      </c>
      <c r="D121" t="s">
        <v>22</v>
      </c>
      <c r="E121" t="str">
        <f t="shared" si="8"/>
        <v>Other</v>
      </c>
      <c r="F121" t="s">
        <v>17</v>
      </c>
      <c r="G121">
        <v>374754</v>
      </c>
      <c r="H121">
        <v>900400</v>
      </c>
      <c r="I121">
        <v>128751</v>
      </c>
      <c r="J121">
        <v>9004</v>
      </c>
      <c r="K121">
        <v>227</v>
      </c>
      <c r="L121">
        <v>29</v>
      </c>
      <c r="M121">
        <f>IFERROR(Marketing_Data[[#This Row],[leads]]/Marketing_Data[[#This Row],[clicks]],0)</f>
        <v>2.5211017325633051E-2</v>
      </c>
      <c r="N121">
        <f>IFERROR(Marketing_Data[[#This Row],[clicks]]/Marketing_Data[[#This Row],[impressions]],0)</f>
        <v>0.01</v>
      </c>
      <c r="O121">
        <f>IFERROR(Marketing_Data[[#This Row],[orders]]/Marketing_Data[[#This Row],[leads]],0)</f>
        <v>0.1277533039647577</v>
      </c>
      <c r="P121">
        <f>IFERROR(Marketing_Data[[#This Row],[revenue]]/Marketing_Data[[#This Row],[orders]],0)</f>
        <v>4961</v>
      </c>
      <c r="Q121">
        <f t="shared" si="9"/>
        <v>14.299311417147933</v>
      </c>
      <c r="R121">
        <f t="shared" si="10"/>
        <v>567.18502202643174</v>
      </c>
      <c r="S121">
        <f t="shared" si="11"/>
        <v>4439.6896551724139</v>
      </c>
      <c r="T121">
        <f t="shared" si="12"/>
        <v>15118</v>
      </c>
      <c r="U121">
        <f t="shared" si="13"/>
        <v>0.11742044721982742</v>
      </c>
      <c r="V121">
        <v>143869</v>
      </c>
    </row>
    <row r="122" spans="1:22" x14ac:dyDescent="0.25">
      <c r="A122" s="2">
        <v>121</v>
      </c>
      <c r="B122" s="1">
        <v>44238</v>
      </c>
      <c r="C122" s="1" t="str">
        <f t="shared" si="7"/>
        <v>Weekday</v>
      </c>
      <c r="D122" t="s">
        <v>23</v>
      </c>
      <c r="E122" t="str">
        <f t="shared" si="8"/>
        <v>Other</v>
      </c>
      <c r="F122" t="s">
        <v>24</v>
      </c>
      <c r="G122">
        <v>39889</v>
      </c>
      <c r="H122">
        <v>5125187</v>
      </c>
      <c r="I122">
        <v>193124</v>
      </c>
      <c r="J122">
        <v>12602</v>
      </c>
      <c r="K122">
        <v>482</v>
      </c>
      <c r="L122">
        <v>57</v>
      </c>
      <c r="M122">
        <f>IFERROR(Marketing_Data[[#This Row],[leads]]/Marketing_Data[[#This Row],[clicks]],0)</f>
        <v>3.8247897159181081E-2</v>
      </c>
      <c r="N122">
        <f>IFERROR(Marketing_Data[[#This Row],[clicks]]/Marketing_Data[[#This Row],[impressions]],0)</f>
        <v>2.4588371116995339E-3</v>
      </c>
      <c r="O122">
        <f>IFERROR(Marketing_Data[[#This Row],[orders]]/Marketing_Data[[#This Row],[leads]],0)</f>
        <v>0.11825726141078838</v>
      </c>
      <c r="P122">
        <f>IFERROR(Marketing_Data[[#This Row],[revenue]]/Marketing_Data[[#This Row],[orders]],0)</f>
        <v>3981</v>
      </c>
      <c r="Q122">
        <f t="shared" si="9"/>
        <v>15.32486906840184</v>
      </c>
      <c r="R122">
        <f t="shared" si="10"/>
        <v>400.67219917012449</v>
      </c>
      <c r="S122">
        <f t="shared" si="11"/>
        <v>3388.1403508771928</v>
      </c>
      <c r="T122">
        <f t="shared" si="12"/>
        <v>33793</v>
      </c>
      <c r="U122">
        <f t="shared" si="13"/>
        <v>0.17498084132474473</v>
      </c>
      <c r="V122">
        <v>226917</v>
      </c>
    </row>
    <row r="123" spans="1:22" x14ac:dyDescent="0.25">
      <c r="A123" s="2">
        <v>122</v>
      </c>
      <c r="B123" s="1">
        <v>44239</v>
      </c>
      <c r="C123" s="1" t="str">
        <f t="shared" si="7"/>
        <v>Weekday</v>
      </c>
      <c r="D123" t="s">
        <v>11</v>
      </c>
      <c r="E123" t="str">
        <f t="shared" si="8"/>
        <v>Tier 1</v>
      </c>
      <c r="F123" t="s">
        <v>12</v>
      </c>
      <c r="G123">
        <v>349043</v>
      </c>
      <c r="H123">
        <v>1804868</v>
      </c>
      <c r="I123">
        <v>110004</v>
      </c>
      <c r="J123">
        <v>9607</v>
      </c>
      <c r="K123">
        <v>192</v>
      </c>
      <c r="L123">
        <v>23</v>
      </c>
      <c r="M123">
        <f>IFERROR(Marketing_Data[[#This Row],[leads]]/Marketing_Data[[#This Row],[clicks]],0)</f>
        <v>1.9985427292599146E-2</v>
      </c>
      <c r="N123">
        <f>IFERROR(Marketing_Data[[#This Row],[clicks]]/Marketing_Data[[#This Row],[impressions]],0)</f>
        <v>5.3228269324958949E-3</v>
      </c>
      <c r="O123">
        <f>IFERROR(Marketing_Data[[#This Row],[orders]]/Marketing_Data[[#This Row],[leads]],0)</f>
        <v>0.11979166666666667</v>
      </c>
      <c r="P123">
        <f>IFERROR(Marketing_Data[[#This Row],[revenue]]/Marketing_Data[[#This Row],[orders]],0)</f>
        <v>4181</v>
      </c>
      <c r="Q123">
        <f t="shared" si="9"/>
        <v>11.450400749453523</v>
      </c>
      <c r="R123">
        <f t="shared" si="10"/>
        <v>572.9375</v>
      </c>
      <c r="S123">
        <f t="shared" si="11"/>
        <v>4782.782608695652</v>
      </c>
      <c r="T123">
        <f t="shared" si="12"/>
        <v>-13841</v>
      </c>
      <c r="U123">
        <f t="shared" si="13"/>
        <v>-0.12582269735645976</v>
      </c>
      <c r="V123">
        <v>96163</v>
      </c>
    </row>
    <row r="124" spans="1:22" x14ac:dyDescent="0.25">
      <c r="A124" s="2">
        <v>123</v>
      </c>
      <c r="B124" s="1">
        <v>44239</v>
      </c>
      <c r="C124" s="1" t="str">
        <f t="shared" si="7"/>
        <v>Weekday</v>
      </c>
      <c r="D124" t="s">
        <v>25</v>
      </c>
      <c r="E124" t="str">
        <f t="shared" si="8"/>
        <v>Tier 2</v>
      </c>
      <c r="F124" t="s">
        <v>12</v>
      </c>
      <c r="G124">
        <v>348934</v>
      </c>
      <c r="H124">
        <v>2639200</v>
      </c>
      <c r="I124">
        <v>191722</v>
      </c>
      <c r="J124">
        <v>13196</v>
      </c>
      <c r="K124">
        <v>325</v>
      </c>
      <c r="L124">
        <v>32</v>
      </c>
      <c r="M124">
        <f>IFERROR(Marketing_Data[[#This Row],[leads]]/Marketing_Data[[#This Row],[clicks]],0)</f>
        <v>2.4628675356168535E-2</v>
      </c>
      <c r="N124">
        <f>IFERROR(Marketing_Data[[#This Row],[clicks]]/Marketing_Data[[#This Row],[impressions]],0)</f>
        <v>5.0000000000000001E-3</v>
      </c>
      <c r="O124">
        <f>IFERROR(Marketing_Data[[#This Row],[orders]]/Marketing_Data[[#This Row],[leads]],0)</f>
        <v>9.8461538461538461E-2</v>
      </c>
      <c r="P124">
        <f>IFERROR(Marketing_Data[[#This Row],[revenue]]/Marketing_Data[[#This Row],[orders]],0)</f>
        <v>5516</v>
      </c>
      <c r="Q124">
        <f t="shared" si="9"/>
        <v>14.528796605031827</v>
      </c>
      <c r="R124">
        <f t="shared" si="10"/>
        <v>589.91384615384618</v>
      </c>
      <c r="S124">
        <f t="shared" si="11"/>
        <v>5991.3125</v>
      </c>
      <c r="T124">
        <f t="shared" si="12"/>
        <v>-15210</v>
      </c>
      <c r="U124">
        <f t="shared" si="13"/>
        <v>-7.9333618468407377E-2</v>
      </c>
      <c r="V124">
        <v>176512</v>
      </c>
    </row>
    <row r="125" spans="1:22" x14ac:dyDescent="0.25">
      <c r="A125" s="2">
        <v>124</v>
      </c>
      <c r="B125" s="1">
        <v>44239</v>
      </c>
      <c r="C125" s="1" t="str">
        <f t="shared" si="7"/>
        <v>Weekday</v>
      </c>
      <c r="D125" t="s">
        <v>13</v>
      </c>
      <c r="E125" t="str">
        <f t="shared" si="8"/>
        <v>Other</v>
      </c>
      <c r="F125" t="s">
        <v>14</v>
      </c>
      <c r="G125">
        <v>89459845</v>
      </c>
      <c r="H125">
        <v>161493</v>
      </c>
      <c r="I125">
        <v>59745.3</v>
      </c>
      <c r="J125">
        <v>3602</v>
      </c>
      <c r="K125">
        <v>72</v>
      </c>
      <c r="L125">
        <v>14</v>
      </c>
      <c r="M125">
        <f>IFERROR(Marketing_Data[[#This Row],[leads]]/Marketing_Data[[#This Row],[clicks]],0)</f>
        <v>1.9988895058300944E-2</v>
      </c>
      <c r="N125">
        <f>IFERROR(Marketing_Data[[#This Row],[clicks]]/Marketing_Data[[#This Row],[impressions]],0)</f>
        <v>2.230437232573548E-2</v>
      </c>
      <c r="O125">
        <f>IFERROR(Marketing_Data[[#This Row],[orders]]/Marketing_Data[[#This Row],[leads]],0)</f>
        <v>0.19444444444444445</v>
      </c>
      <c r="P125">
        <f>IFERROR(Marketing_Data[[#This Row],[revenue]]/Marketing_Data[[#This Row],[orders]],0)</f>
        <v>8765</v>
      </c>
      <c r="Q125">
        <f t="shared" si="9"/>
        <v>16.586701832315381</v>
      </c>
      <c r="R125">
        <f t="shared" si="10"/>
        <v>829.79583333333335</v>
      </c>
      <c r="S125">
        <f t="shared" si="11"/>
        <v>4267.5214285714292</v>
      </c>
      <c r="T125">
        <f t="shared" si="12"/>
        <v>62964.7</v>
      </c>
      <c r="U125">
        <f t="shared" si="13"/>
        <v>1.0538854102331061</v>
      </c>
      <c r="V125">
        <v>122710</v>
      </c>
    </row>
    <row r="126" spans="1:22" x14ac:dyDescent="0.25">
      <c r="A126" s="2">
        <v>125</v>
      </c>
      <c r="B126" s="1">
        <v>44239</v>
      </c>
      <c r="C126" s="1" t="str">
        <f t="shared" si="7"/>
        <v>Weekday</v>
      </c>
      <c r="D126" t="s">
        <v>15</v>
      </c>
      <c r="E126" t="str">
        <f t="shared" si="8"/>
        <v>Other</v>
      </c>
      <c r="F126" t="s">
        <v>14</v>
      </c>
      <c r="G126">
        <v>127823</v>
      </c>
      <c r="H126">
        <v>1502383</v>
      </c>
      <c r="I126">
        <v>86733.1</v>
      </c>
      <c r="J126">
        <v>9605</v>
      </c>
      <c r="K126">
        <v>192</v>
      </c>
      <c r="L126">
        <v>19</v>
      </c>
      <c r="M126">
        <f>IFERROR(Marketing_Data[[#This Row],[leads]]/Marketing_Data[[#This Row],[clicks]],0)</f>
        <v>1.9989588755856325E-2</v>
      </c>
      <c r="N126">
        <f>IFERROR(Marketing_Data[[#This Row],[clicks]]/Marketing_Data[[#This Row],[impressions]],0)</f>
        <v>6.3931767066054395E-3</v>
      </c>
      <c r="O126">
        <f>IFERROR(Marketing_Data[[#This Row],[orders]]/Marketing_Data[[#This Row],[leads]],0)</f>
        <v>9.8958333333333329E-2</v>
      </c>
      <c r="P126">
        <f>IFERROR(Marketing_Data[[#This Row],[revenue]]/Marketing_Data[[#This Row],[orders]],0)</f>
        <v>2981</v>
      </c>
      <c r="Q126">
        <f t="shared" si="9"/>
        <v>9.0299947943779291</v>
      </c>
      <c r="R126">
        <f t="shared" si="10"/>
        <v>451.73489583333338</v>
      </c>
      <c r="S126">
        <f t="shared" si="11"/>
        <v>4564.9000000000005</v>
      </c>
      <c r="T126">
        <f t="shared" si="12"/>
        <v>-30094.100000000006</v>
      </c>
      <c r="U126">
        <f t="shared" si="13"/>
        <v>-0.34697364673924952</v>
      </c>
      <c r="V126">
        <v>56639</v>
      </c>
    </row>
    <row r="127" spans="1:22" x14ac:dyDescent="0.25">
      <c r="A127" s="2">
        <v>126</v>
      </c>
      <c r="B127" s="1">
        <v>44239</v>
      </c>
      <c r="C127" s="1" t="str">
        <f t="shared" si="7"/>
        <v>Weekday</v>
      </c>
      <c r="D127" t="s">
        <v>16</v>
      </c>
      <c r="E127" t="str">
        <f t="shared" si="8"/>
        <v>Other</v>
      </c>
      <c r="F127" t="s">
        <v>17</v>
      </c>
      <c r="G127">
        <v>10934</v>
      </c>
      <c r="H127">
        <v>1299708</v>
      </c>
      <c r="I127">
        <v>121652</v>
      </c>
      <c r="J127">
        <v>17994</v>
      </c>
      <c r="K127">
        <v>378</v>
      </c>
      <c r="L127">
        <v>61</v>
      </c>
      <c r="M127">
        <f>IFERROR(Marketing_Data[[#This Row],[leads]]/Marketing_Data[[#This Row],[clicks]],0)</f>
        <v>2.1007002334111371E-2</v>
      </c>
      <c r="N127">
        <f>IFERROR(Marketing_Data[[#This Row],[clicks]]/Marketing_Data[[#This Row],[impressions]],0)</f>
        <v>1.3844648182514841E-2</v>
      </c>
      <c r="O127">
        <f>IFERROR(Marketing_Data[[#This Row],[orders]]/Marketing_Data[[#This Row],[leads]],0)</f>
        <v>0.16137566137566137</v>
      </c>
      <c r="P127">
        <f>IFERROR(Marketing_Data[[#This Row],[revenue]]/Marketing_Data[[#This Row],[orders]],0)</f>
        <v>7981</v>
      </c>
      <c r="Q127">
        <f t="shared" si="9"/>
        <v>6.7606980104479275</v>
      </c>
      <c r="R127">
        <f t="shared" si="10"/>
        <v>321.83068783068785</v>
      </c>
      <c r="S127">
        <f t="shared" si="11"/>
        <v>1994.295081967213</v>
      </c>
      <c r="T127">
        <f t="shared" si="12"/>
        <v>365189</v>
      </c>
      <c r="U127">
        <f t="shared" si="13"/>
        <v>3.0019152993785552</v>
      </c>
      <c r="V127">
        <v>486841</v>
      </c>
    </row>
    <row r="128" spans="1:22" x14ac:dyDescent="0.25">
      <c r="A128" s="2">
        <v>127</v>
      </c>
      <c r="B128" s="1">
        <v>44239</v>
      </c>
      <c r="C128" s="1" t="str">
        <f t="shared" si="7"/>
        <v>Weekday</v>
      </c>
      <c r="D128" t="s">
        <v>18</v>
      </c>
      <c r="E128" t="str">
        <f t="shared" si="8"/>
        <v>Tier 1</v>
      </c>
      <c r="F128" t="s">
        <v>12</v>
      </c>
      <c r="G128">
        <v>9034945</v>
      </c>
      <c r="H128">
        <v>3735390</v>
      </c>
      <c r="I128">
        <v>26659.9</v>
      </c>
      <c r="J128">
        <v>10806</v>
      </c>
      <c r="K128">
        <v>115</v>
      </c>
      <c r="L128">
        <v>9</v>
      </c>
      <c r="M128">
        <f>IFERROR(Marketing_Data[[#This Row],[leads]]/Marketing_Data[[#This Row],[clicks]],0)</f>
        <v>1.0642235794928743E-2</v>
      </c>
      <c r="N128">
        <f>IFERROR(Marketing_Data[[#This Row],[clicks]]/Marketing_Data[[#This Row],[impressions]],0)</f>
        <v>2.8928706239509127E-3</v>
      </c>
      <c r="O128">
        <f>IFERROR(Marketing_Data[[#This Row],[orders]]/Marketing_Data[[#This Row],[leads]],0)</f>
        <v>7.8260869565217397E-2</v>
      </c>
      <c r="P128">
        <f>IFERROR(Marketing_Data[[#This Row],[revenue]]/Marketing_Data[[#This Row],[orders]],0)</f>
        <v>5947</v>
      </c>
      <c r="Q128">
        <f t="shared" si="9"/>
        <v>2.4671386266888766</v>
      </c>
      <c r="R128">
        <f t="shared" si="10"/>
        <v>231.82521739130436</v>
      </c>
      <c r="S128">
        <f t="shared" si="11"/>
        <v>2962.2111111111112</v>
      </c>
      <c r="T128">
        <f t="shared" si="12"/>
        <v>26863.1</v>
      </c>
      <c r="U128">
        <f t="shared" si="13"/>
        <v>1.0076219340657691</v>
      </c>
      <c r="V128">
        <v>53523</v>
      </c>
    </row>
    <row r="129" spans="1:22" x14ac:dyDescent="0.25">
      <c r="A129" s="2">
        <v>128</v>
      </c>
      <c r="B129" s="1">
        <v>44239</v>
      </c>
      <c r="C129" s="1" t="str">
        <f t="shared" si="7"/>
        <v>Weekday</v>
      </c>
      <c r="D129" t="s">
        <v>19</v>
      </c>
      <c r="E129" t="str">
        <f t="shared" si="8"/>
        <v>Tier 2</v>
      </c>
      <c r="F129" t="s">
        <v>12</v>
      </c>
      <c r="G129">
        <v>983498</v>
      </c>
      <c r="H129">
        <v>7156880</v>
      </c>
      <c r="I129">
        <v>49060.3</v>
      </c>
      <c r="J129">
        <v>20391</v>
      </c>
      <c r="K129">
        <v>408</v>
      </c>
      <c r="L129">
        <v>15</v>
      </c>
      <c r="M129">
        <f>IFERROR(Marketing_Data[[#This Row],[leads]]/Marketing_Data[[#This Row],[clicks]],0)</f>
        <v>2.0008827423863468E-2</v>
      </c>
      <c r="N129">
        <f>IFERROR(Marketing_Data[[#This Row],[clicks]]/Marketing_Data[[#This Row],[impressions]],0)</f>
        <v>2.8491465554822772E-3</v>
      </c>
      <c r="O129">
        <f>IFERROR(Marketing_Data[[#This Row],[orders]]/Marketing_Data[[#This Row],[leads]],0)</f>
        <v>3.6764705882352942E-2</v>
      </c>
      <c r="P129">
        <f>IFERROR(Marketing_Data[[#This Row],[revenue]]/Marketing_Data[[#This Row],[orders]],0)</f>
        <v>1981</v>
      </c>
      <c r="Q129">
        <f t="shared" si="9"/>
        <v>2.4059781276053163</v>
      </c>
      <c r="R129">
        <f t="shared" si="10"/>
        <v>120.24583333333334</v>
      </c>
      <c r="S129">
        <f t="shared" si="11"/>
        <v>3270.686666666667</v>
      </c>
      <c r="T129">
        <f t="shared" si="12"/>
        <v>-19345.300000000003</v>
      </c>
      <c r="U129">
        <f t="shared" si="13"/>
        <v>-0.3943167897464957</v>
      </c>
      <c r="V129">
        <v>29715</v>
      </c>
    </row>
    <row r="130" spans="1:22" x14ac:dyDescent="0.25">
      <c r="A130" s="2">
        <v>129</v>
      </c>
      <c r="B130" s="1">
        <v>44239</v>
      </c>
      <c r="C130" s="1" t="str">
        <f t="shared" ref="C130:C193" si="14">IF(WEEKDAY(B130,2)&gt;5,"Weekend","Weekday")</f>
        <v>Weekday</v>
      </c>
      <c r="D130" t="s">
        <v>20</v>
      </c>
      <c r="E130" t="str">
        <f t="shared" ref="E130:E193" si="15">IF(ISNUMBER(SEARCH("tier1",D130)),"Tier 1",IF(ISNUMBER(SEARCH("tier2",D130)),"Tier 2","Other"))</f>
        <v>Other</v>
      </c>
      <c r="F130" t="s">
        <v>12</v>
      </c>
      <c r="G130">
        <v>4387490</v>
      </c>
      <c r="H130">
        <v>42587</v>
      </c>
      <c r="I130">
        <v>11278.3</v>
      </c>
      <c r="J130">
        <v>1207</v>
      </c>
      <c r="K130">
        <v>34</v>
      </c>
      <c r="L130">
        <v>8</v>
      </c>
      <c r="M130">
        <f>IFERROR(Marketing_Data[[#This Row],[leads]]/Marketing_Data[[#This Row],[clicks]],0)</f>
        <v>2.8169014084507043E-2</v>
      </c>
      <c r="N130">
        <f>IFERROR(Marketing_Data[[#This Row],[clicks]]/Marketing_Data[[#This Row],[impressions]],0)</f>
        <v>2.834198229506657E-2</v>
      </c>
      <c r="O130">
        <f>IFERROR(Marketing_Data[[#This Row],[orders]]/Marketing_Data[[#This Row],[leads]],0)</f>
        <v>0.23529411764705882</v>
      </c>
      <c r="P130">
        <f>IFERROR(Marketing_Data[[#This Row],[revenue]]/Marketing_Data[[#This Row],[orders]],0)</f>
        <v>4981</v>
      </c>
      <c r="Q130">
        <f t="shared" ref="Q130:Q193" si="16">IFERROR(I130/J130,0)</f>
        <v>9.3440762220381099</v>
      </c>
      <c r="R130">
        <f t="shared" ref="R130:R193" si="17">IFERROR(I130/K130,0)</f>
        <v>331.71470588235292</v>
      </c>
      <c r="S130">
        <f t="shared" ref="S130:S193" si="18">IFERROR(I130/L130,0)</f>
        <v>1409.7874999999999</v>
      </c>
      <c r="T130">
        <f t="shared" ref="T130:T193" si="19">V130-I130</f>
        <v>28569.7</v>
      </c>
      <c r="U130">
        <f t="shared" ref="U130:U193" si="20">IFERROR((V130-I130)/I130,0)</f>
        <v>2.5331565927489073</v>
      </c>
      <c r="V130">
        <v>39848</v>
      </c>
    </row>
    <row r="131" spans="1:22" x14ac:dyDescent="0.25">
      <c r="A131" s="2">
        <v>130</v>
      </c>
      <c r="B131" s="1">
        <v>44239</v>
      </c>
      <c r="C131" s="1" t="str">
        <f t="shared" si="14"/>
        <v>Weekday</v>
      </c>
      <c r="D131" t="s">
        <v>21</v>
      </c>
      <c r="E131" t="str">
        <f t="shared" si="15"/>
        <v>Other</v>
      </c>
      <c r="F131" t="s">
        <v>12</v>
      </c>
      <c r="G131">
        <v>544756</v>
      </c>
      <c r="H131">
        <v>480000</v>
      </c>
      <c r="I131">
        <v>44580.9</v>
      </c>
      <c r="J131">
        <v>4800</v>
      </c>
      <c r="K131">
        <v>33</v>
      </c>
      <c r="L131">
        <v>5</v>
      </c>
      <c r="M131">
        <f>IFERROR(Marketing_Data[[#This Row],[leads]]/Marketing_Data[[#This Row],[clicks]],0)</f>
        <v>6.875E-3</v>
      </c>
      <c r="N131">
        <f>IFERROR(Marketing_Data[[#This Row],[clicks]]/Marketing_Data[[#This Row],[impressions]],0)</f>
        <v>0.01</v>
      </c>
      <c r="O131">
        <f>IFERROR(Marketing_Data[[#This Row],[orders]]/Marketing_Data[[#This Row],[leads]],0)</f>
        <v>0.15151515151515152</v>
      </c>
      <c r="P131">
        <f>IFERROR(Marketing_Data[[#This Row],[revenue]]/Marketing_Data[[#This Row],[orders]],0)</f>
        <v>1389</v>
      </c>
      <c r="Q131">
        <f t="shared" si="16"/>
        <v>9.2876875000000005</v>
      </c>
      <c r="R131">
        <f t="shared" si="17"/>
        <v>1350.9363636363637</v>
      </c>
      <c r="S131">
        <f t="shared" si="18"/>
        <v>8916.18</v>
      </c>
      <c r="T131">
        <f t="shared" si="19"/>
        <v>-37635.9</v>
      </c>
      <c r="U131">
        <f t="shared" si="20"/>
        <v>-0.84421579645094647</v>
      </c>
      <c r="V131">
        <v>6945</v>
      </c>
    </row>
    <row r="132" spans="1:22" x14ac:dyDescent="0.25">
      <c r="A132" s="2">
        <v>131</v>
      </c>
      <c r="B132" s="1">
        <v>44239</v>
      </c>
      <c r="C132" s="1" t="str">
        <f t="shared" si="14"/>
        <v>Weekday</v>
      </c>
      <c r="D132" t="s">
        <v>22</v>
      </c>
      <c r="E132" t="str">
        <f t="shared" si="15"/>
        <v>Other</v>
      </c>
      <c r="F132" t="s">
        <v>17</v>
      </c>
      <c r="G132">
        <v>374754</v>
      </c>
      <c r="H132">
        <v>1200300</v>
      </c>
      <c r="I132">
        <v>308572</v>
      </c>
      <c r="J132">
        <v>12003</v>
      </c>
      <c r="K132">
        <v>412</v>
      </c>
      <c r="L132">
        <v>79</v>
      </c>
      <c r="M132">
        <f>IFERROR(Marketing_Data[[#This Row],[leads]]/Marketing_Data[[#This Row],[clicks]],0)</f>
        <v>3.4324752145297011E-2</v>
      </c>
      <c r="N132">
        <f>IFERROR(Marketing_Data[[#This Row],[clicks]]/Marketing_Data[[#This Row],[impressions]],0)</f>
        <v>0.01</v>
      </c>
      <c r="O132">
        <f>IFERROR(Marketing_Data[[#This Row],[orders]]/Marketing_Data[[#This Row],[leads]],0)</f>
        <v>0.19174757281553398</v>
      </c>
      <c r="P132">
        <f>IFERROR(Marketing_Data[[#This Row],[revenue]]/Marketing_Data[[#This Row],[orders]],0)</f>
        <v>4981</v>
      </c>
      <c r="Q132">
        <f t="shared" si="16"/>
        <v>25.707906356744147</v>
      </c>
      <c r="R132">
        <f t="shared" si="17"/>
        <v>748.96116504854365</v>
      </c>
      <c r="S132">
        <f t="shared" si="18"/>
        <v>3905.9746835443038</v>
      </c>
      <c r="T132">
        <f t="shared" si="19"/>
        <v>84927</v>
      </c>
      <c r="U132">
        <f t="shared" si="20"/>
        <v>0.27522587921133479</v>
      </c>
      <c r="V132">
        <v>393499</v>
      </c>
    </row>
    <row r="133" spans="1:22" x14ac:dyDescent="0.25">
      <c r="A133" s="2">
        <v>132</v>
      </c>
      <c r="B133" s="1">
        <v>44239</v>
      </c>
      <c r="C133" s="1" t="str">
        <f t="shared" si="14"/>
        <v>Weekday</v>
      </c>
      <c r="D133" t="s">
        <v>23</v>
      </c>
      <c r="E133" t="str">
        <f t="shared" si="15"/>
        <v>Other</v>
      </c>
      <c r="F133" t="s">
        <v>24</v>
      </c>
      <c r="G133">
        <v>39889</v>
      </c>
      <c r="H133">
        <v>10819771</v>
      </c>
      <c r="I133">
        <v>145201</v>
      </c>
      <c r="J133">
        <v>16808</v>
      </c>
      <c r="K133">
        <v>336</v>
      </c>
      <c r="L133">
        <v>49</v>
      </c>
      <c r="M133">
        <f>IFERROR(Marketing_Data[[#This Row],[leads]]/Marketing_Data[[#This Row],[clicks]],0)</f>
        <v>1.9990480723465015E-2</v>
      </c>
      <c r="N133">
        <f>IFERROR(Marketing_Data[[#This Row],[clicks]]/Marketing_Data[[#This Row],[impressions]],0)</f>
        <v>1.5534524714062802E-3</v>
      </c>
      <c r="O133">
        <f>IFERROR(Marketing_Data[[#This Row],[orders]]/Marketing_Data[[#This Row],[leads]],0)</f>
        <v>0.14583333333333334</v>
      </c>
      <c r="P133">
        <f>IFERROR(Marketing_Data[[#This Row],[revenue]]/Marketing_Data[[#This Row],[orders]],0)</f>
        <v>3981</v>
      </c>
      <c r="Q133">
        <f t="shared" si="16"/>
        <v>8.6388029509757267</v>
      </c>
      <c r="R133">
        <f t="shared" si="17"/>
        <v>432.14583333333331</v>
      </c>
      <c r="S133">
        <f t="shared" si="18"/>
        <v>2963.2857142857142</v>
      </c>
      <c r="T133">
        <f t="shared" si="19"/>
        <v>49868</v>
      </c>
      <c r="U133">
        <f t="shared" si="20"/>
        <v>0.3434411608735477</v>
      </c>
      <c r="V133">
        <v>195069</v>
      </c>
    </row>
    <row r="134" spans="1:22" x14ac:dyDescent="0.25">
      <c r="A134" s="2">
        <v>133</v>
      </c>
      <c r="B134" s="1">
        <v>44240</v>
      </c>
      <c r="C134" s="1" t="str">
        <f t="shared" si="14"/>
        <v>Weekend</v>
      </c>
      <c r="D134" t="s">
        <v>11</v>
      </c>
      <c r="E134" t="str">
        <f t="shared" si="15"/>
        <v>Tier 1</v>
      </c>
      <c r="F134" t="s">
        <v>12</v>
      </c>
      <c r="G134">
        <v>349043</v>
      </c>
      <c r="H134">
        <v>1496322</v>
      </c>
      <c r="I134">
        <v>308692</v>
      </c>
      <c r="J134">
        <v>11990</v>
      </c>
      <c r="K134">
        <v>397</v>
      </c>
      <c r="L134">
        <v>60</v>
      </c>
      <c r="M134">
        <f>IFERROR(Marketing_Data[[#This Row],[leads]]/Marketing_Data[[#This Row],[clicks]],0)</f>
        <v>3.311092577147623E-2</v>
      </c>
      <c r="N134">
        <f>IFERROR(Marketing_Data[[#This Row],[clicks]]/Marketing_Data[[#This Row],[impressions]],0)</f>
        <v>8.0129811631453659E-3</v>
      </c>
      <c r="O134">
        <f>IFERROR(Marketing_Data[[#This Row],[orders]]/Marketing_Data[[#This Row],[leads]],0)</f>
        <v>0.15113350125944586</v>
      </c>
      <c r="P134">
        <f>IFERROR(Marketing_Data[[#This Row],[revenue]]/Marketing_Data[[#This Row],[orders]],0)</f>
        <v>5698</v>
      </c>
      <c r="Q134">
        <f t="shared" si="16"/>
        <v>25.745788156797332</v>
      </c>
      <c r="R134">
        <f t="shared" si="17"/>
        <v>777.56171284634763</v>
      </c>
      <c r="S134">
        <f t="shared" si="18"/>
        <v>5144.8666666666668</v>
      </c>
      <c r="T134">
        <f t="shared" si="19"/>
        <v>33188</v>
      </c>
      <c r="U134">
        <f t="shared" si="20"/>
        <v>0.10751169450455471</v>
      </c>
      <c r="V134">
        <v>341880</v>
      </c>
    </row>
    <row r="135" spans="1:22" x14ac:dyDescent="0.25">
      <c r="A135" s="2">
        <v>134</v>
      </c>
      <c r="B135" s="1">
        <v>44240</v>
      </c>
      <c r="C135" s="1" t="str">
        <f t="shared" si="14"/>
        <v>Weekend</v>
      </c>
      <c r="D135" t="s">
        <v>25</v>
      </c>
      <c r="E135" t="str">
        <f t="shared" si="15"/>
        <v>Tier 2</v>
      </c>
      <c r="F135" t="s">
        <v>12</v>
      </c>
      <c r="G135">
        <v>348934</v>
      </c>
      <c r="H135">
        <v>2358224</v>
      </c>
      <c r="I135">
        <v>325444</v>
      </c>
      <c r="J135">
        <v>16506</v>
      </c>
      <c r="K135">
        <v>655</v>
      </c>
      <c r="L135">
        <v>52</v>
      </c>
      <c r="M135">
        <f>IFERROR(Marketing_Data[[#This Row],[leads]]/Marketing_Data[[#This Row],[clicks]],0)</f>
        <v>3.968253968253968E-2</v>
      </c>
      <c r="N135">
        <f>IFERROR(Marketing_Data[[#This Row],[clicks]]/Marketing_Data[[#This Row],[impressions]],0)</f>
        <v>6.9993350928495342E-3</v>
      </c>
      <c r="O135">
        <f>IFERROR(Marketing_Data[[#This Row],[orders]]/Marketing_Data[[#This Row],[leads]],0)</f>
        <v>7.9389312977099238E-2</v>
      </c>
      <c r="P135">
        <f>IFERROR(Marketing_Data[[#This Row],[revenue]]/Marketing_Data[[#This Row],[orders]],0)</f>
        <v>5042</v>
      </c>
      <c r="Q135">
        <f t="shared" si="16"/>
        <v>19.716709075487703</v>
      </c>
      <c r="R135">
        <f t="shared" si="17"/>
        <v>496.86106870229008</v>
      </c>
      <c r="S135">
        <f t="shared" si="18"/>
        <v>6258.5384615384619</v>
      </c>
      <c r="T135">
        <f t="shared" si="19"/>
        <v>-63260</v>
      </c>
      <c r="U135">
        <f t="shared" si="20"/>
        <v>-0.19438060004178906</v>
      </c>
      <c r="V135">
        <v>262184</v>
      </c>
    </row>
    <row r="136" spans="1:22" x14ac:dyDescent="0.25">
      <c r="A136" s="2">
        <v>135</v>
      </c>
      <c r="B136" s="1">
        <v>44240</v>
      </c>
      <c r="C136" s="1" t="str">
        <f t="shared" si="14"/>
        <v>Weekend</v>
      </c>
      <c r="D136" t="s">
        <v>13</v>
      </c>
      <c r="E136" t="str">
        <f t="shared" si="15"/>
        <v>Other</v>
      </c>
      <c r="F136" t="s">
        <v>14</v>
      </c>
      <c r="G136">
        <v>89459845</v>
      </c>
      <c r="H136">
        <v>225350</v>
      </c>
      <c r="I136">
        <v>61588.1</v>
      </c>
      <c r="J136">
        <v>4507</v>
      </c>
      <c r="K136">
        <v>100</v>
      </c>
      <c r="L136">
        <v>17</v>
      </c>
      <c r="M136">
        <f>IFERROR(Marketing_Data[[#This Row],[leads]]/Marketing_Data[[#This Row],[clicks]],0)</f>
        <v>2.218770800976259E-2</v>
      </c>
      <c r="N136">
        <f>IFERROR(Marketing_Data[[#This Row],[clicks]]/Marketing_Data[[#This Row],[impressions]],0)</f>
        <v>0.02</v>
      </c>
      <c r="O136">
        <f>IFERROR(Marketing_Data[[#This Row],[orders]]/Marketing_Data[[#This Row],[leads]],0)</f>
        <v>0.17</v>
      </c>
      <c r="P136">
        <f>IFERROR(Marketing_Data[[#This Row],[revenue]]/Marketing_Data[[#This Row],[orders]],0)</f>
        <v>8980</v>
      </c>
      <c r="Q136">
        <f t="shared" si="16"/>
        <v>13.664987796760593</v>
      </c>
      <c r="R136">
        <f t="shared" si="17"/>
        <v>615.88099999999997</v>
      </c>
      <c r="S136">
        <f t="shared" si="18"/>
        <v>3622.8294117647056</v>
      </c>
      <c r="T136">
        <f t="shared" si="19"/>
        <v>91071.9</v>
      </c>
      <c r="U136">
        <f t="shared" si="20"/>
        <v>1.4787255979645417</v>
      </c>
      <c r="V136">
        <v>152660</v>
      </c>
    </row>
    <row r="137" spans="1:22" x14ac:dyDescent="0.25">
      <c r="A137" s="2">
        <v>136</v>
      </c>
      <c r="B137" s="1">
        <v>44240</v>
      </c>
      <c r="C137" s="1" t="str">
        <f t="shared" si="14"/>
        <v>Weekend</v>
      </c>
      <c r="D137" t="s">
        <v>15</v>
      </c>
      <c r="E137" t="str">
        <f t="shared" si="15"/>
        <v>Other</v>
      </c>
      <c r="F137" t="s">
        <v>14</v>
      </c>
      <c r="G137">
        <v>127823</v>
      </c>
      <c r="H137">
        <v>3452027</v>
      </c>
      <c r="I137">
        <v>216562</v>
      </c>
      <c r="J137">
        <v>12010</v>
      </c>
      <c r="K137">
        <v>378</v>
      </c>
      <c r="L137">
        <v>56</v>
      </c>
      <c r="M137">
        <f>IFERROR(Marketing_Data[[#This Row],[leads]]/Marketing_Data[[#This Row],[clicks]],0)</f>
        <v>3.1473771856786015E-2</v>
      </c>
      <c r="N137">
        <f>IFERROR(Marketing_Data[[#This Row],[clicks]]/Marketing_Data[[#This Row],[impressions]],0)</f>
        <v>3.4791153139879846E-3</v>
      </c>
      <c r="O137">
        <f>IFERROR(Marketing_Data[[#This Row],[orders]]/Marketing_Data[[#This Row],[leads]],0)</f>
        <v>0.14814814814814814</v>
      </c>
      <c r="P137">
        <f>IFERROR(Marketing_Data[[#This Row],[revenue]]/Marketing_Data[[#This Row],[orders]],0)</f>
        <v>2198</v>
      </c>
      <c r="Q137">
        <f t="shared" si="16"/>
        <v>18.031806827643631</v>
      </c>
      <c r="R137">
        <f t="shared" si="17"/>
        <v>572.9153439153439</v>
      </c>
      <c r="S137">
        <f t="shared" si="18"/>
        <v>3867.1785714285716</v>
      </c>
      <c r="T137">
        <f t="shared" si="19"/>
        <v>-93474</v>
      </c>
      <c r="U137">
        <f t="shared" si="20"/>
        <v>-0.43162697056732019</v>
      </c>
      <c r="V137">
        <v>123088</v>
      </c>
    </row>
    <row r="138" spans="1:22" x14ac:dyDescent="0.25">
      <c r="A138" s="2">
        <v>137</v>
      </c>
      <c r="B138" s="1">
        <v>44240</v>
      </c>
      <c r="C138" s="1" t="str">
        <f t="shared" si="14"/>
        <v>Weekend</v>
      </c>
      <c r="D138" t="s">
        <v>16</v>
      </c>
      <c r="E138" t="str">
        <f t="shared" si="15"/>
        <v>Other</v>
      </c>
      <c r="F138" t="s">
        <v>17</v>
      </c>
      <c r="G138">
        <v>10934</v>
      </c>
      <c r="H138">
        <v>2250900</v>
      </c>
      <c r="I138">
        <v>205045</v>
      </c>
      <c r="J138">
        <v>22509</v>
      </c>
      <c r="K138">
        <v>790</v>
      </c>
      <c r="L138">
        <v>158</v>
      </c>
      <c r="M138">
        <f>IFERROR(Marketing_Data[[#This Row],[leads]]/Marketing_Data[[#This Row],[clicks]],0)</f>
        <v>3.509707228219823E-2</v>
      </c>
      <c r="N138">
        <f>IFERROR(Marketing_Data[[#This Row],[clicks]]/Marketing_Data[[#This Row],[impressions]],0)</f>
        <v>0.01</v>
      </c>
      <c r="O138">
        <f>IFERROR(Marketing_Data[[#This Row],[orders]]/Marketing_Data[[#This Row],[leads]],0)</f>
        <v>0.2</v>
      </c>
      <c r="P138">
        <f>IFERROR(Marketing_Data[[#This Row],[revenue]]/Marketing_Data[[#This Row],[orders]],0)</f>
        <v>8206.0126582278481</v>
      </c>
      <c r="Q138">
        <f t="shared" si="16"/>
        <v>9.1094673241814377</v>
      </c>
      <c r="R138">
        <f t="shared" si="17"/>
        <v>259.55063291139243</v>
      </c>
      <c r="S138">
        <f t="shared" si="18"/>
        <v>1297.753164556962</v>
      </c>
      <c r="T138">
        <f t="shared" si="19"/>
        <v>1091505</v>
      </c>
      <c r="U138">
        <f t="shared" si="20"/>
        <v>5.3232461167060885</v>
      </c>
      <c r="V138">
        <v>1296550</v>
      </c>
    </row>
    <row r="139" spans="1:22" x14ac:dyDescent="0.25">
      <c r="A139" s="2">
        <v>138</v>
      </c>
      <c r="B139" s="1">
        <v>44240</v>
      </c>
      <c r="C139" s="1" t="str">
        <f t="shared" si="14"/>
        <v>Weekend</v>
      </c>
      <c r="D139" t="s">
        <v>18</v>
      </c>
      <c r="E139" t="str">
        <f t="shared" si="15"/>
        <v>Tier 1</v>
      </c>
      <c r="F139" t="s">
        <v>12</v>
      </c>
      <c r="G139">
        <v>9034945</v>
      </c>
      <c r="H139">
        <v>2698200</v>
      </c>
      <c r="I139">
        <v>88844.800000000003</v>
      </c>
      <c r="J139">
        <v>13491</v>
      </c>
      <c r="K139">
        <v>219</v>
      </c>
      <c r="L139">
        <v>26</v>
      </c>
      <c r="M139">
        <f>IFERROR(Marketing_Data[[#This Row],[leads]]/Marketing_Data[[#This Row],[clicks]],0)</f>
        <v>1.623304425172337E-2</v>
      </c>
      <c r="N139">
        <f>IFERROR(Marketing_Data[[#This Row],[clicks]]/Marketing_Data[[#This Row],[impressions]],0)</f>
        <v>5.0000000000000001E-3</v>
      </c>
      <c r="O139">
        <f>IFERROR(Marketing_Data[[#This Row],[orders]]/Marketing_Data[[#This Row],[leads]],0)</f>
        <v>0.11872146118721461</v>
      </c>
      <c r="P139">
        <f>IFERROR(Marketing_Data[[#This Row],[revenue]]/Marketing_Data[[#This Row],[orders]],0)</f>
        <v>6784</v>
      </c>
      <c r="Q139">
        <f t="shared" si="16"/>
        <v>6.5854866207101033</v>
      </c>
      <c r="R139">
        <f t="shared" si="17"/>
        <v>405.68401826484018</v>
      </c>
      <c r="S139">
        <f t="shared" si="18"/>
        <v>3417.1076923076926</v>
      </c>
      <c r="T139">
        <f t="shared" si="19"/>
        <v>87539.199999999997</v>
      </c>
      <c r="U139">
        <f t="shared" si="20"/>
        <v>0.9853047111367238</v>
      </c>
      <c r="V139">
        <v>176384</v>
      </c>
    </row>
    <row r="140" spans="1:22" x14ac:dyDescent="0.25">
      <c r="A140" s="2">
        <v>139</v>
      </c>
      <c r="B140" s="1">
        <v>44240</v>
      </c>
      <c r="C140" s="1" t="str">
        <f t="shared" si="14"/>
        <v>Weekend</v>
      </c>
      <c r="D140" t="s">
        <v>19</v>
      </c>
      <c r="E140" t="str">
        <f t="shared" si="15"/>
        <v>Tier 2</v>
      </c>
      <c r="F140" t="s">
        <v>12</v>
      </c>
      <c r="G140">
        <v>983498</v>
      </c>
      <c r="H140">
        <v>5100600</v>
      </c>
      <c r="I140">
        <v>16656.8</v>
      </c>
      <c r="J140">
        <v>25503</v>
      </c>
      <c r="K140">
        <v>510</v>
      </c>
      <c r="L140">
        <v>6</v>
      </c>
      <c r="M140">
        <f>IFERROR(Marketing_Data[[#This Row],[leads]]/Marketing_Data[[#This Row],[clicks]],0)</f>
        <v>1.9997647335607577E-2</v>
      </c>
      <c r="N140">
        <f>IFERROR(Marketing_Data[[#This Row],[clicks]]/Marketing_Data[[#This Row],[impressions]],0)</f>
        <v>5.0000000000000001E-3</v>
      </c>
      <c r="O140">
        <f>IFERROR(Marketing_Data[[#This Row],[orders]]/Marketing_Data[[#This Row],[leads]],0)</f>
        <v>1.1764705882352941E-2</v>
      </c>
      <c r="P140">
        <f>IFERROR(Marketing_Data[[#This Row],[revenue]]/Marketing_Data[[#This Row],[orders]],0)</f>
        <v>1689</v>
      </c>
      <c r="Q140">
        <f t="shared" si="16"/>
        <v>0.65313100419558479</v>
      </c>
      <c r="R140">
        <f t="shared" si="17"/>
        <v>32.660392156862741</v>
      </c>
      <c r="S140">
        <f t="shared" si="18"/>
        <v>2776.1333333333332</v>
      </c>
      <c r="T140">
        <f t="shared" si="19"/>
        <v>-6522.7999999999993</v>
      </c>
      <c r="U140">
        <f t="shared" si="20"/>
        <v>-0.39159982709764179</v>
      </c>
      <c r="V140">
        <v>10134</v>
      </c>
    </row>
    <row r="141" spans="1:22" x14ac:dyDescent="0.25">
      <c r="A141" s="2">
        <v>140</v>
      </c>
      <c r="B141" s="1">
        <v>44240</v>
      </c>
      <c r="C141" s="1" t="str">
        <f t="shared" si="14"/>
        <v>Weekend</v>
      </c>
      <c r="D141" t="s">
        <v>20</v>
      </c>
      <c r="E141" t="str">
        <f t="shared" si="15"/>
        <v>Other</v>
      </c>
      <c r="F141" t="s">
        <v>12</v>
      </c>
      <c r="G141">
        <v>4387490</v>
      </c>
      <c r="H141">
        <v>50333</v>
      </c>
      <c r="I141">
        <v>8367.08</v>
      </c>
      <c r="J141">
        <v>1510</v>
      </c>
      <c r="K141">
        <v>19</v>
      </c>
      <c r="L141">
        <v>4</v>
      </c>
      <c r="M141">
        <f>IFERROR(Marketing_Data[[#This Row],[leads]]/Marketing_Data[[#This Row],[clicks]],0)</f>
        <v>1.2582781456953643E-2</v>
      </c>
      <c r="N141">
        <f>IFERROR(Marketing_Data[[#This Row],[clicks]]/Marketing_Data[[#This Row],[impressions]],0)</f>
        <v>3.0000198676812428E-2</v>
      </c>
      <c r="O141">
        <f>IFERROR(Marketing_Data[[#This Row],[orders]]/Marketing_Data[[#This Row],[leads]],0)</f>
        <v>0.21052631578947367</v>
      </c>
      <c r="P141">
        <f>IFERROR(Marketing_Data[[#This Row],[revenue]]/Marketing_Data[[#This Row],[orders]],0)</f>
        <v>4707</v>
      </c>
      <c r="Q141">
        <f t="shared" si="16"/>
        <v>5.5411125827814569</v>
      </c>
      <c r="R141">
        <f t="shared" si="17"/>
        <v>440.37263157894739</v>
      </c>
      <c r="S141">
        <f t="shared" si="18"/>
        <v>2091.77</v>
      </c>
      <c r="T141">
        <f t="shared" si="19"/>
        <v>10460.92</v>
      </c>
      <c r="U141">
        <f t="shared" si="20"/>
        <v>1.2502473981365063</v>
      </c>
      <c r="V141">
        <v>18828</v>
      </c>
    </row>
    <row r="142" spans="1:22" x14ac:dyDescent="0.25">
      <c r="A142" s="2">
        <v>141</v>
      </c>
      <c r="B142" s="1">
        <v>44240</v>
      </c>
      <c r="C142" s="1" t="str">
        <f t="shared" si="14"/>
        <v>Weekend</v>
      </c>
      <c r="D142" t="s">
        <v>21</v>
      </c>
      <c r="E142" t="str">
        <f t="shared" si="15"/>
        <v>Other</v>
      </c>
      <c r="F142" t="s">
        <v>12</v>
      </c>
      <c r="G142">
        <v>544756</v>
      </c>
      <c r="H142">
        <v>495013</v>
      </c>
      <c r="I142">
        <v>171332</v>
      </c>
      <c r="J142">
        <v>6006</v>
      </c>
      <c r="K142">
        <v>128</v>
      </c>
      <c r="L142">
        <v>19</v>
      </c>
      <c r="M142">
        <f>IFERROR(Marketing_Data[[#This Row],[leads]]/Marketing_Data[[#This Row],[clicks]],0)</f>
        <v>2.1312021312021312E-2</v>
      </c>
      <c r="N142">
        <f>IFERROR(Marketing_Data[[#This Row],[clicks]]/Marketing_Data[[#This Row],[impressions]],0)</f>
        <v>1.2133014688503131E-2</v>
      </c>
      <c r="O142">
        <f>IFERROR(Marketing_Data[[#This Row],[orders]]/Marketing_Data[[#This Row],[leads]],0)</f>
        <v>0.1484375</v>
      </c>
      <c r="P142">
        <f>IFERROR(Marketing_Data[[#This Row],[revenue]]/Marketing_Data[[#This Row],[orders]],0)</f>
        <v>1265</v>
      </c>
      <c r="Q142">
        <f t="shared" si="16"/>
        <v>28.526806526806528</v>
      </c>
      <c r="R142">
        <f t="shared" si="17"/>
        <v>1338.53125</v>
      </c>
      <c r="S142">
        <f t="shared" si="18"/>
        <v>9017.4736842105267</v>
      </c>
      <c r="T142">
        <f t="shared" si="19"/>
        <v>-147297</v>
      </c>
      <c r="U142">
        <f t="shared" si="20"/>
        <v>-0.8597168071346859</v>
      </c>
      <c r="V142">
        <v>24035</v>
      </c>
    </row>
    <row r="143" spans="1:22" x14ac:dyDescent="0.25">
      <c r="A143" s="2">
        <v>142</v>
      </c>
      <c r="B143" s="1">
        <v>44240</v>
      </c>
      <c r="C143" s="1" t="str">
        <f t="shared" si="14"/>
        <v>Weekend</v>
      </c>
      <c r="D143" t="s">
        <v>22</v>
      </c>
      <c r="E143" t="str">
        <f t="shared" si="15"/>
        <v>Other</v>
      </c>
      <c r="F143" t="s">
        <v>17</v>
      </c>
      <c r="G143">
        <v>374754</v>
      </c>
      <c r="H143">
        <v>1499200</v>
      </c>
      <c r="I143">
        <v>32770.1</v>
      </c>
      <c r="J143">
        <v>14992</v>
      </c>
      <c r="K143">
        <v>50</v>
      </c>
      <c r="L143">
        <v>8</v>
      </c>
      <c r="M143">
        <f>IFERROR(Marketing_Data[[#This Row],[leads]]/Marketing_Data[[#This Row],[clicks]],0)</f>
        <v>3.3351120597652083E-3</v>
      </c>
      <c r="N143">
        <f>IFERROR(Marketing_Data[[#This Row],[clicks]]/Marketing_Data[[#This Row],[impressions]],0)</f>
        <v>0.01</v>
      </c>
      <c r="O143">
        <f>IFERROR(Marketing_Data[[#This Row],[orders]]/Marketing_Data[[#This Row],[leads]],0)</f>
        <v>0.16</v>
      </c>
      <c r="P143">
        <f>IFERROR(Marketing_Data[[#This Row],[revenue]]/Marketing_Data[[#This Row],[orders]],0)</f>
        <v>5497</v>
      </c>
      <c r="Q143">
        <f t="shared" si="16"/>
        <v>2.1858391141942368</v>
      </c>
      <c r="R143">
        <f t="shared" si="17"/>
        <v>655.40199999999993</v>
      </c>
      <c r="S143">
        <f t="shared" si="18"/>
        <v>4096.2624999999998</v>
      </c>
      <c r="T143">
        <f t="shared" si="19"/>
        <v>11205.900000000001</v>
      </c>
      <c r="U143">
        <f t="shared" si="20"/>
        <v>0.34195501386935045</v>
      </c>
      <c r="V143">
        <v>43976</v>
      </c>
    </row>
    <row r="144" spans="1:22" x14ac:dyDescent="0.25">
      <c r="A144" s="2">
        <v>143</v>
      </c>
      <c r="B144" s="1">
        <v>44240</v>
      </c>
      <c r="C144" s="1" t="str">
        <f t="shared" si="14"/>
        <v>Weekend</v>
      </c>
      <c r="D144" t="s">
        <v>23</v>
      </c>
      <c r="E144" t="str">
        <f t="shared" si="15"/>
        <v>Other</v>
      </c>
      <c r="F144" t="s">
        <v>24</v>
      </c>
      <c r="G144">
        <v>39889</v>
      </c>
      <c r="H144">
        <v>17890507</v>
      </c>
      <c r="I144">
        <v>390105</v>
      </c>
      <c r="J144">
        <v>20993</v>
      </c>
      <c r="K144">
        <v>734</v>
      </c>
      <c r="L144">
        <v>118</v>
      </c>
      <c r="M144">
        <f>IFERROR(Marketing_Data[[#This Row],[leads]]/Marketing_Data[[#This Row],[clicks]],0)</f>
        <v>3.4964035630924595E-2</v>
      </c>
      <c r="N144">
        <f>IFERROR(Marketing_Data[[#This Row],[clicks]]/Marketing_Data[[#This Row],[impressions]],0)</f>
        <v>1.173415599680881E-3</v>
      </c>
      <c r="O144">
        <f>IFERROR(Marketing_Data[[#This Row],[orders]]/Marketing_Data[[#This Row],[leads]],0)</f>
        <v>0.16076294277929154</v>
      </c>
      <c r="P144">
        <f>IFERROR(Marketing_Data[[#This Row],[revenue]]/Marketing_Data[[#This Row],[orders]],0)</f>
        <v>2993</v>
      </c>
      <c r="Q144">
        <f t="shared" si="16"/>
        <v>18.58262277902158</v>
      </c>
      <c r="R144">
        <f t="shared" si="17"/>
        <v>531.47820163487734</v>
      </c>
      <c r="S144">
        <f t="shared" si="18"/>
        <v>3305.9745762711864</v>
      </c>
      <c r="T144">
        <f t="shared" si="19"/>
        <v>-36931</v>
      </c>
      <c r="U144">
        <f t="shared" si="20"/>
        <v>-9.4669383883826147E-2</v>
      </c>
      <c r="V144">
        <v>353174</v>
      </c>
    </row>
    <row r="145" spans="1:22" x14ac:dyDescent="0.25">
      <c r="A145" s="2">
        <v>144</v>
      </c>
      <c r="B145" s="1">
        <v>44241</v>
      </c>
      <c r="C145" s="1" t="str">
        <f t="shared" si="14"/>
        <v>Weekend</v>
      </c>
      <c r="D145" t="s">
        <v>11</v>
      </c>
      <c r="E145" t="str">
        <f t="shared" si="15"/>
        <v>Tier 1</v>
      </c>
      <c r="F145" t="s">
        <v>12</v>
      </c>
      <c r="G145">
        <v>349043</v>
      </c>
      <c r="H145">
        <v>2452315</v>
      </c>
      <c r="I145">
        <v>60244.9</v>
      </c>
      <c r="J145">
        <v>14406</v>
      </c>
      <c r="K145">
        <v>110</v>
      </c>
      <c r="L145">
        <v>14</v>
      </c>
      <c r="M145">
        <f>IFERROR(Marketing_Data[[#This Row],[leads]]/Marketing_Data[[#This Row],[clicks]],0)</f>
        <v>7.6357073441621548E-3</v>
      </c>
      <c r="N145">
        <f>IFERROR(Marketing_Data[[#This Row],[clicks]]/Marketing_Data[[#This Row],[impressions]],0)</f>
        <v>5.8744492448971689E-3</v>
      </c>
      <c r="O145">
        <f>IFERROR(Marketing_Data[[#This Row],[orders]]/Marketing_Data[[#This Row],[leads]],0)</f>
        <v>0.12727272727272726</v>
      </c>
      <c r="P145">
        <f>IFERROR(Marketing_Data[[#This Row],[revenue]]/Marketing_Data[[#This Row],[orders]],0)</f>
        <v>4540</v>
      </c>
      <c r="Q145">
        <f t="shared" si="16"/>
        <v>4.1819311398028605</v>
      </c>
      <c r="R145">
        <f t="shared" si="17"/>
        <v>547.68090909090915</v>
      </c>
      <c r="S145">
        <f t="shared" si="18"/>
        <v>4303.2071428571426</v>
      </c>
      <c r="T145">
        <f t="shared" si="19"/>
        <v>3315.0999999999985</v>
      </c>
      <c r="U145">
        <f t="shared" si="20"/>
        <v>5.5027064531603477E-2</v>
      </c>
      <c r="V145">
        <v>63560</v>
      </c>
    </row>
    <row r="146" spans="1:22" x14ac:dyDescent="0.25">
      <c r="A146" s="2">
        <v>145</v>
      </c>
      <c r="B146" s="1">
        <v>44241</v>
      </c>
      <c r="C146" s="1" t="str">
        <f t="shared" si="14"/>
        <v>Weekend</v>
      </c>
      <c r="D146" t="s">
        <v>25</v>
      </c>
      <c r="E146" t="str">
        <f t="shared" si="15"/>
        <v>Tier 2</v>
      </c>
      <c r="F146" t="s">
        <v>12</v>
      </c>
      <c r="G146">
        <v>348934</v>
      </c>
      <c r="H146">
        <v>7936534</v>
      </c>
      <c r="I146">
        <v>197948</v>
      </c>
      <c r="J146">
        <v>19797</v>
      </c>
      <c r="K146">
        <v>396</v>
      </c>
      <c r="L146">
        <v>30</v>
      </c>
      <c r="M146">
        <f>IFERROR(Marketing_Data[[#This Row],[leads]]/Marketing_Data[[#This Row],[clicks]],0)</f>
        <v>2.0003030762236702E-2</v>
      </c>
      <c r="N146">
        <f>IFERROR(Marketing_Data[[#This Row],[clicks]]/Marketing_Data[[#This Row],[impressions]],0)</f>
        <v>2.4944138083450532E-3</v>
      </c>
      <c r="O146">
        <f>IFERROR(Marketing_Data[[#This Row],[orders]]/Marketing_Data[[#This Row],[leads]],0)</f>
        <v>7.575757575757576E-2</v>
      </c>
      <c r="P146">
        <f>IFERROR(Marketing_Data[[#This Row],[revenue]]/Marketing_Data[[#This Row],[orders]],0)</f>
        <v>4981</v>
      </c>
      <c r="Q146">
        <f t="shared" si="16"/>
        <v>9.9988887205132091</v>
      </c>
      <c r="R146">
        <f t="shared" si="17"/>
        <v>499.86868686868689</v>
      </c>
      <c r="S146">
        <f t="shared" si="18"/>
        <v>6598.2666666666664</v>
      </c>
      <c r="T146">
        <f t="shared" si="19"/>
        <v>-48518</v>
      </c>
      <c r="U146">
        <f t="shared" si="20"/>
        <v>-0.24510477499141189</v>
      </c>
      <c r="V146">
        <v>149430</v>
      </c>
    </row>
    <row r="147" spans="1:22" x14ac:dyDescent="0.25">
      <c r="A147" s="2">
        <v>146</v>
      </c>
      <c r="B147" s="1">
        <v>44241</v>
      </c>
      <c r="C147" s="1" t="str">
        <f t="shared" si="14"/>
        <v>Weekend</v>
      </c>
      <c r="D147" t="s">
        <v>13</v>
      </c>
      <c r="E147" t="str">
        <f t="shared" si="15"/>
        <v>Other</v>
      </c>
      <c r="F147" t="s">
        <v>14</v>
      </c>
      <c r="G147">
        <v>89459845</v>
      </c>
      <c r="H147">
        <v>263754</v>
      </c>
      <c r="I147">
        <v>56440.3</v>
      </c>
      <c r="J147">
        <v>5409</v>
      </c>
      <c r="K147">
        <v>90</v>
      </c>
      <c r="L147">
        <v>11</v>
      </c>
      <c r="M147">
        <f>IFERROR(Marketing_Data[[#This Row],[leads]]/Marketing_Data[[#This Row],[clicks]],0)</f>
        <v>1.6638935108153077E-2</v>
      </c>
      <c r="N147">
        <f>IFERROR(Marketing_Data[[#This Row],[clicks]]/Marketing_Data[[#This Row],[impressions]],0)</f>
        <v>2.0507745854091312E-2</v>
      </c>
      <c r="O147">
        <f>IFERROR(Marketing_Data[[#This Row],[orders]]/Marketing_Data[[#This Row],[leads]],0)</f>
        <v>0.12222222222222222</v>
      </c>
      <c r="P147">
        <f>IFERROR(Marketing_Data[[#This Row],[revenue]]/Marketing_Data[[#This Row],[orders]],0)</f>
        <v>7653</v>
      </c>
      <c r="Q147">
        <f t="shared" si="16"/>
        <v>10.43451654649658</v>
      </c>
      <c r="R147">
        <f t="shared" si="17"/>
        <v>627.11444444444453</v>
      </c>
      <c r="S147">
        <f t="shared" si="18"/>
        <v>5130.9363636363641</v>
      </c>
      <c r="T147">
        <f t="shared" si="19"/>
        <v>27742.699999999997</v>
      </c>
      <c r="U147">
        <f t="shared" si="20"/>
        <v>0.49154061902576696</v>
      </c>
      <c r="V147">
        <v>84183</v>
      </c>
    </row>
    <row r="148" spans="1:22" x14ac:dyDescent="0.25">
      <c r="A148" s="2">
        <v>147</v>
      </c>
      <c r="B148" s="1">
        <v>44241</v>
      </c>
      <c r="C148" s="1" t="str">
        <f t="shared" si="14"/>
        <v>Weekend</v>
      </c>
      <c r="D148" t="s">
        <v>15</v>
      </c>
      <c r="E148" t="str">
        <f t="shared" si="15"/>
        <v>Other</v>
      </c>
      <c r="F148" t="s">
        <v>14</v>
      </c>
      <c r="G148">
        <v>127823</v>
      </c>
      <c r="H148">
        <v>3111389</v>
      </c>
      <c r="I148">
        <v>196998</v>
      </c>
      <c r="J148">
        <v>14390</v>
      </c>
      <c r="K148">
        <v>498</v>
      </c>
      <c r="L148">
        <v>48</v>
      </c>
      <c r="M148">
        <f>IFERROR(Marketing_Data[[#This Row],[leads]]/Marketing_Data[[#This Row],[clicks]],0)</f>
        <v>3.4607366226546213E-2</v>
      </c>
      <c r="N148">
        <f>IFERROR(Marketing_Data[[#This Row],[clicks]]/Marketing_Data[[#This Row],[impressions]],0)</f>
        <v>4.6249440362487624E-3</v>
      </c>
      <c r="O148">
        <f>IFERROR(Marketing_Data[[#This Row],[orders]]/Marketing_Data[[#This Row],[leads]],0)</f>
        <v>9.6385542168674704E-2</v>
      </c>
      <c r="P148">
        <f>IFERROR(Marketing_Data[[#This Row],[revenue]]/Marketing_Data[[#This Row],[orders]],0)</f>
        <v>2110</v>
      </c>
      <c r="Q148">
        <f t="shared" si="16"/>
        <v>13.689923558026408</v>
      </c>
      <c r="R148">
        <f t="shared" si="17"/>
        <v>395.57831325301203</v>
      </c>
      <c r="S148">
        <f t="shared" si="18"/>
        <v>4104.125</v>
      </c>
      <c r="T148">
        <f t="shared" si="19"/>
        <v>-95718</v>
      </c>
      <c r="U148">
        <f t="shared" si="20"/>
        <v>-0.48588310541223767</v>
      </c>
      <c r="V148">
        <v>101280</v>
      </c>
    </row>
    <row r="149" spans="1:22" x14ac:dyDescent="0.25">
      <c r="A149" s="2">
        <v>148</v>
      </c>
      <c r="B149" s="1">
        <v>44241</v>
      </c>
      <c r="C149" s="1" t="str">
        <f t="shared" si="14"/>
        <v>Weekend</v>
      </c>
      <c r="D149" t="s">
        <v>16</v>
      </c>
      <c r="E149" t="str">
        <f t="shared" si="15"/>
        <v>Other</v>
      </c>
      <c r="F149" t="s">
        <v>17</v>
      </c>
      <c r="G149">
        <v>10934</v>
      </c>
      <c r="H149">
        <v>2511956</v>
      </c>
      <c r="I149">
        <v>231751</v>
      </c>
      <c r="J149">
        <v>26993</v>
      </c>
      <c r="K149">
        <v>540</v>
      </c>
      <c r="L149">
        <v>85</v>
      </c>
      <c r="M149">
        <f>IFERROR(Marketing_Data[[#This Row],[leads]]/Marketing_Data[[#This Row],[clicks]],0)</f>
        <v>2.0005186529841072E-2</v>
      </c>
      <c r="N149">
        <f>IFERROR(Marketing_Data[[#This Row],[clicks]]/Marketing_Data[[#This Row],[impressions]],0)</f>
        <v>1.0745809241881626E-2</v>
      </c>
      <c r="O149">
        <f>IFERROR(Marketing_Data[[#This Row],[orders]]/Marketing_Data[[#This Row],[leads]],0)</f>
        <v>0.15740740740740741</v>
      </c>
      <c r="P149">
        <f>IFERROR(Marketing_Data[[#This Row],[revenue]]/Marketing_Data[[#This Row],[orders]],0)</f>
        <v>8630</v>
      </c>
      <c r="Q149">
        <f t="shared" si="16"/>
        <v>8.5855962656985145</v>
      </c>
      <c r="R149">
        <f t="shared" si="17"/>
        <v>429.16851851851851</v>
      </c>
      <c r="S149">
        <f t="shared" si="18"/>
        <v>2726.4823529411765</v>
      </c>
      <c r="T149">
        <f t="shared" si="19"/>
        <v>501799</v>
      </c>
      <c r="U149">
        <f t="shared" si="20"/>
        <v>2.1652506353802141</v>
      </c>
      <c r="V149">
        <v>733550</v>
      </c>
    </row>
    <row r="150" spans="1:22" x14ac:dyDescent="0.25">
      <c r="A150" s="2">
        <v>149</v>
      </c>
      <c r="B150" s="1">
        <v>44241</v>
      </c>
      <c r="C150" s="1" t="str">
        <f t="shared" si="14"/>
        <v>Weekend</v>
      </c>
      <c r="D150" t="s">
        <v>18</v>
      </c>
      <c r="E150" t="str">
        <f t="shared" si="15"/>
        <v>Tier 1</v>
      </c>
      <c r="F150" t="s">
        <v>12</v>
      </c>
      <c r="G150">
        <v>9034945</v>
      </c>
      <c r="H150">
        <v>3239400</v>
      </c>
      <c r="I150">
        <v>312844</v>
      </c>
      <c r="J150">
        <v>16197</v>
      </c>
      <c r="K150">
        <v>604</v>
      </c>
      <c r="L150">
        <v>72</v>
      </c>
      <c r="M150">
        <f>IFERROR(Marketing_Data[[#This Row],[leads]]/Marketing_Data[[#This Row],[clicks]],0)</f>
        <v>3.7290856331419396E-2</v>
      </c>
      <c r="N150">
        <f>IFERROR(Marketing_Data[[#This Row],[clicks]]/Marketing_Data[[#This Row],[impressions]],0)</f>
        <v>5.0000000000000001E-3</v>
      </c>
      <c r="O150">
        <f>IFERROR(Marketing_Data[[#This Row],[orders]]/Marketing_Data[[#This Row],[leads]],0)</f>
        <v>0.11920529801324503</v>
      </c>
      <c r="P150">
        <f>IFERROR(Marketing_Data[[#This Row],[revenue]]/Marketing_Data[[#This Row],[orders]],0)</f>
        <v>5241</v>
      </c>
      <c r="Q150">
        <f t="shared" si="16"/>
        <v>19.314934864481078</v>
      </c>
      <c r="R150">
        <f t="shared" si="17"/>
        <v>517.95364238410593</v>
      </c>
      <c r="S150">
        <f t="shared" si="18"/>
        <v>4345.0555555555557</v>
      </c>
      <c r="T150">
        <f t="shared" si="19"/>
        <v>64508</v>
      </c>
      <c r="U150">
        <f t="shared" si="20"/>
        <v>0.20619861656288757</v>
      </c>
      <c r="V150">
        <v>377352</v>
      </c>
    </row>
    <row r="151" spans="1:22" x14ac:dyDescent="0.25">
      <c r="A151" s="2">
        <v>150</v>
      </c>
      <c r="B151" s="1">
        <v>44241</v>
      </c>
      <c r="C151" s="1" t="str">
        <f t="shared" si="14"/>
        <v>Weekend</v>
      </c>
      <c r="D151" t="s">
        <v>19</v>
      </c>
      <c r="E151" t="str">
        <f t="shared" si="15"/>
        <v>Tier 2</v>
      </c>
      <c r="F151" t="s">
        <v>12</v>
      </c>
      <c r="G151">
        <v>983498</v>
      </c>
      <c r="H151">
        <v>5130500</v>
      </c>
      <c r="I151">
        <v>218228</v>
      </c>
      <c r="J151">
        <v>30602</v>
      </c>
      <c r="K151">
        <v>935</v>
      </c>
      <c r="L151">
        <v>54</v>
      </c>
      <c r="M151">
        <f>IFERROR(Marketing_Data[[#This Row],[leads]]/Marketing_Data[[#This Row],[clicks]],0)</f>
        <v>3.0553558590941769E-2</v>
      </c>
      <c r="N151">
        <f>IFERROR(Marketing_Data[[#This Row],[clicks]]/Marketing_Data[[#This Row],[impressions]],0)</f>
        <v>5.9647207874476173E-3</v>
      </c>
      <c r="O151">
        <f>IFERROR(Marketing_Data[[#This Row],[orders]]/Marketing_Data[[#This Row],[leads]],0)</f>
        <v>5.7754010695187166E-2</v>
      </c>
      <c r="P151">
        <f>IFERROR(Marketing_Data[[#This Row],[revenue]]/Marketing_Data[[#This Row],[orders]],0)</f>
        <v>2217</v>
      </c>
      <c r="Q151">
        <f t="shared" si="16"/>
        <v>7.1311678975230377</v>
      </c>
      <c r="R151">
        <f t="shared" si="17"/>
        <v>233.39893048128343</v>
      </c>
      <c r="S151">
        <f t="shared" si="18"/>
        <v>4041.2592592592591</v>
      </c>
      <c r="T151">
        <f t="shared" si="19"/>
        <v>-98510</v>
      </c>
      <c r="U151">
        <f t="shared" si="20"/>
        <v>-0.45140861850908226</v>
      </c>
      <c r="V151">
        <v>119718</v>
      </c>
    </row>
    <row r="152" spans="1:22" x14ac:dyDescent="0.25">
      <c r="A152" s="2">
        <v>151</v>
      </c>
      <c r="B152" s="1">
        <v>44241</v>
      </c>
      <c r="C152" s="1" t="str">
        <f t="shared" si="14"/>
        <v>Weekend</v>
      </c>
      <c r="D152" t="s">
        <v>20</v>
      </c>
      <c r="E152" t="str">
        <f t="shared" si="15"/>
        <v>Other</v>
      </c>
      <c r="F152" t="s">
        <v>12</v>
      </c>
      <c r="G152">
        <v>4387490</v>
      </c>
      <c r="H152">
        <v>55495</v>
      </c>
      <c r="I152">
        <v>4764.34</v>
      </c>
      <c r="J152">
        <v>1790</v>
      </c>
      <c r="K152">
        <v>10</v>
      </c>
      <c r="L152">
        <v>2</v>
      </c>
      <c r="M152">
        <f>IFERROR(Marketing_Data[[#This Row],[leads]]/Marketing_Data[[#This Row],[clicks]],0)</f>
        <v>5.5865921787709499E-3</v>
      </c>
      <c r="N152">
        <f>IFERROR(Marketing_Data[[#This Row],[clicks]]/Marketing_Data[[#This Row],[impressions]],0)</f>
        <v>3.2255158122353363E-2</v>
      </c>
      <c r="O152">
        <f>IFERROR(Marketing_Data[[#This Row],[orders]]/Marketing_Data[[#This Row],[leads]],0)</f>
        <v>0.2</v>
      </c>
      <c r="P152">
        <f>IFERROR(Marketing_Data[[#This Row],[revenue]]/Marketing_Data[[#This Row],[orders]],0)</f>
        <v>5451</v>
      </c>
      <c r="Q152">
        <f t="shared" si="16"/>
        <v>2.6616424581005589</v>
      </c>
      <c r="R152">
        <f t="shared" si="17"/>
        <v>476.43400000000003</v>
      </c>
      <c r="S152">
        <f t="shared" si="18"/>
        <v>2382.17</v>
      </c>
      <c r="T152">
        <f t="shared" si="19"/>
        <v>6137.66</v>
      </c>
      <c r="U152">
        <f t="shared" si="20"/>
        <v>1.2882497890578757</v>
      </c>
      <c r="V152">
        <v>10902</v>
      </c>
    </row>
    <row r="153" spans="1:22" x14ac:dyDescent="0.25">
      <c r="A153" s="2">
        <v>152</v>
      </c>
      <c r="B153" s="1">
        <v>44241</v>
      </c>
      <c r="C153" s="1" t="str">
        <f t="shared" si="14"/>
        <v>Weekend</v>
      </c>
      <c r="D153" t="s">
        <v>21</v>
      </c>
      <c r="E153" t="str">
        <f t="shared" si="15"/>
        <v>Other</v>
      </c>
      <c r="F153" t="s">
        <v>12</v>
      </c>
      <c r="G153">
        <v>544756</v>
      </c>
      <c r="H153">
        <v>605220</v>
      </c>
      <c r="I153">
        <v>170719</v>
      </c>
      <c r="J153">
        <v>7205</v>
      </c>
      <c r="K153">
        <v>142</v>
      </c>
      <c r="L153">
        <v>21</v>
      </c>
      <c r="M153">
        <f>IFERROR(Marketing_Data[[#This Row],[leads]]/Marketing_Data[[#This Row],[clicks]],0)</f>
        <v>1.9708535739070089E-2</v>
      </c>
      <c r="N153">
        <f>IFERROR(Marketing_Data[[#This Row],[clicks]]/Marketing_Data[[#This Row],[impressions]],0)</f>
        <v>1.1904761904761904E-2</v>
      </c>
      <c r="O153">
        <f>IFERROR(Marketing_Data[[#This Row],[orders]]/Marketing_Data[[#This Row],[leads]],0)</f>
        <v>0.14788732394366197</v>
      </c>
      <c r="P153">
        <f>IFERROR(Marketing_Data[[#This Row],[revenue]]/Marketing_Data[[#This Row],[orders]],0)</f>
        <v>680</v>
      </c>
      <c r="Q153">
        <f t="shared" si="16"/>
        <v>23.694517696044414</v>
      </c>
      <c r="R153">
        <f t="shared" si="17"/>
        <v>1202.2464788732395</v>
      </c>
      <c r="S153">
        <f t="shared" si="18"/>
        <v>8129.4761904761908</v>
      </c>
      <c r="T153">
        <f t="shared" si="19"/>
        <v>-156439</v>
      </c>
      <c r="U153">
        <f t="shared" si="20"/>
        <v>-0.91635377433091803</v>
      </c>
      <c r="V153">
        <v>14280</v>
      </c>
    </row>
    <row r="154" spans="1:22" x14ac:dyDescent="0.25">
      <c r="A154" s="2">
        <v>153</v>
      </c>
      <c r="B154" s="1">
        <v>44241</v>
      </c>
      <c r="C154" s="1" t="str">
        <f t="shared" si="14"/>
        <v>Weekend</v>
      </c>
      <c r="D154" t="s">
        <v>22</v>
      </c>
      <c r="E154" t="str">
        <f t="shared" si="15"/>
        <v>Other</v>
      </c>
      <c r="F154" t="s">
        <v>17</v>
      </c>
      <c r="G154">
        <v>374754</v>
      </c>
      <c r="H154">
        <v>2429465</v>
      </c>
      <c r="I154">
        <v>205870</v>
      </c>
      <c r="J154">
        <v>17998</v>
      </c>
      <c r="K154">
        <v>354</v>
      </c>
      <c r="L154">
        <v>53</v>
      </c>
      <c r="M154">
        <f>IFERROR(Marketing_Data[[#This Row],[leads]]/Marketing_Data[[#This Row],[clicks]],0)</f>
        <v>1.9668852094677187E-2</v>
      </c>
      <c r="N154">
        <f>IFERROR(Marketing_Data[[#This Row],[clicks]]/Marketing_Data[[#This Row],[impressions]],0)</f>
        <v>7.4082153889848176E-3</v>
      </c>
      <c r="O154">
        <f>IFERROR(Marketing_Data[[#This Row],[orders]]/Marketing_Data[[#This Row],[leads]],0)</f>
        <v>0.14971751412429379</v>
      </c>
      <c r="P154">
        <f>IFERROR(Marketing_Data[[#This Row],[revenue]]/Marketing_Data[[#This Row],[orders]],0)</f>
        <v>5789</v>
      </c>
      <c r="Q154">
        <f t="shared" si="16"/>
        <v>11.438493165907323</v>
      </c>
      <c r="R154">
        <f t="shared" si="17"/>
        <v>581.55367231638422</v>
      </c>
      <c r="S154">
        <f t="shared" si="18"/>
        <v>3884.3396226415093</v>
      </c>
      <c r="T154">
        <f t="shared" si="19"/>
        <v>100947</v>
      </c>
      <c r="U154">
        <f t="shared" si="20"/>
        <v>0.49034342060523634</v>
      </c>
      <c r="V154">
        <v>306817</v>
      </c>
    </row>
    <row r="155" spans="1:22" x14ac:dyDescent="0.25">
      <c r="A155" s="2">
        <v>154</v>
      </c>
      <c r="B155" s="1">
        <v>44241</v>
      </c>
      <c r="C155" s="1" t="str">
        <f t="shared" si="14"/>
        <v>Weekend</v>
      </c>
      <c r="D155" t="s">
        <v>23</v>
      </c>
      <c r="E155" t="str">
        <f t="shared" si="15"/>
        <v>Other</v>
      </c>
      <c r="F155" t="s">
        <v>24</v>
      </c>
      <c r="G155">
        <v>39889</v>
      </c>
      <c r="H155">
        <v>7218480</v>
      </c>
      <c r="I155">
        <v>225274</v>
      </c>
      <c r="J155">
        <v>25190</v>
      </c>
      <c r="K155">
        <v>504</v>
      </c>
      <c r="L155">
        <v>76</v>
      </c>
      <c r="M155">
        <f>IFERROR(Marketing_Data[[#This Row],[leads]]/Marketing_Data[[#This Row],[clicks]],0)</f>
        <v>2.0007939658594681E-2</v>
      </c>
      <c r="N155">
        <f>IFERROR(Marketing_Data[[#This Row],[clicks]]/Marketing_Data[[#This Row],[impressions]],0)</f>
        <v>3.4896543316598506E-3</v>
      </c>
      <c r="O155">
        <f>IFERROR(Marketing_Data[[#This Row],[orders]]/Marketing_Data[[#This Row],[leads]],0)</f>
        <v>0.15079365079365079</v>
      </c>
      <c r="P155">
        <f>IFERROR(Marketing_Data[[#This Row],[revenue]]/Marketing_Data[[#This Row],[orders]],0)</f>
        <v>3106</v>
      </c>
      <c r="Q155">
        <f t="shared" si="16"/>
        <v>8.9429932512901953</v>
      </c>
      <c r="R155">
        <f t="shared" si="17"/>
        <v>446.97222222222223</v>
      </c>
      <c r="S155">
        <f t="shared" si="18"/>
        <v>2964.1315789473683</v>
      </c>
      <c r="T155">
        <f t="shared" si="19"/>
        <v>10782</v>
      </c>
      <c r="U155">
        <f t="shared" si="20"/>
        <v>4.7861715066985097E-2</v>
      </c>
      <c r="V155">
        <v>236056</v>
      </c>
    </row>
    <row r="156" spans="1:22" x14ac:dyDescent="0.25">
      <c r="A156" s="2">
        <v>155</v>
      </c>
      <c r="B156" s="1">
        <v>44242</v>
      </c>
      <c r="C156" s="1" t="str">
        <f t="shared" si="14"/>
        <v>Weekday</v>
      </c>
      <c r="D156" t="s">
        <v>11</v>
      </c>
      <c r="E156" t="str">
        <f t="shared" si="15"/>
        <v>Tier 1</v>
      </c>
      <c r="F156" t="s">
        <v>12</v>
      </c>
      <c r="G156">
        <v>349043</v>
      </c>
      <c r="H156">
        <v>3361800</v>
      </c>
      <c r="I156">
        <v>168064</v>
      </c>
      <c r="J156">
        <v>16809</v>
      </c>
      <c r="K156">
        <v>247</v>
      </c>
      <c r="L156">
        <v>30</v>
      </c>
      <c r="M156">
        <f>IFERROR(Marketing_Data[[#This Row],[leads]]/Marketing_Data[[#This Row],[clicks]],0)</f>
        <v>1.4694508894044857E-2</v>
      </c>
      <c r="N156">
        <f>IFERROR(Marketing_Data[[#This Row],[clicks]]/Marketing_Data[[#This Row],[impressions]],0)</f>
        <v>5.0000000000000001E-3</v>
      </c>
      <c r="O156">
        <f>IFERROR(Marketing_Data[[#This Row],[orders]]/Marketing_Data[[#This Row],[leads]],0)</f>
        <v>0.1214574898785425</v>
      </c>
      <c r="P156">
        <f>IFERROR(Marketing_Data[[#This Row],[revenue]]/Marketing_Data[[#This Row],[orders]],0)</f>
        <v>4981</v>
      </c>
      <c r="Q156">
        <f t="shared" si="16"/>
        <v>9.9984532095901013</v>
      </c>
      <c r="R156">
        <f t="shared" si="17"/>
        <v>680.42105263157896</v>
      </c>
      <c r="S156">
        <f t="shared" si="18"/>
        <v>5602.1333333333332</v>
      </c>
      <c r="T156">
        <f t="shared" si="19"/>
        <v>-18634</v>
      </c>
      <c r="U156">
        <f t="shared" si="20"/>
        <v>-0.11087442878903275</v>
      </c>
      <c r="V156">
        <v>149430</v>
      </c>
    </row>
    <row r="157" spans="1:22" x14ac:dyDescent="0.25">
      <c r="A157" s="2">
        <v>156</v>
      </c>
      <c r="B157" s="1">
        <v>44242</v>
      </c>
      <c r="C157" s="1" t="str">
        <f t="shared" si="14"/>
        <v>Weekday</v>
      </c>
      <c r="D157" t="s">
        <v>25</v>
      </c>
      <c r="E157" t="str">
        <f t="shared" si="15"/>
        <v>Tier 2</v>
      </c>
      <c r="F157" t="s">
        <v>12</v>
      </c>
      <c r="G157">
        <v>348934</v>
      </c>
      <c r="H157">
        <v>3441545</v>
      </c>
      <c r="I157">
        <v>593576</v>
      </c>
      <c r="J157">
        <v>23103</v>
      </c>
      <c r="K157">
        <v>694</v>
      </c>
      <c r="L157">
        <v>81</v>
      </c>
      <c r="M157">
        <f>IFERROR(Marketing_Data[[#This Row],[leads]]/Marketing_Data[[#This Row],[clicks]],0)</f>
        <v>3.0039388823962256E-2</v>
      </c>
      <c r="N157">
        <f>IFERROR(Marketing_Data[[#This Row],[clicks]]/Marketing_Data[[#This Row],[impressions]],0)</f>
        <v>6.7129733884054984E-3</v>
      </c>
      <c r="O157">
        <f>IFERROR(Marketing_Data[[#This Row],[orders]]/Marketing_Data[[#This Row],[leads]],0)</f>
        <v>0.11671469740634005</v>
      </c>
      <c r="P157">
        <f>IFERROR(Marketing_Data[[#This Row],[revenue]]/Marketing_Data[[#This Row],[orders]],0)</f>
        <v>4981</v>
      </c>
      <c r="Q157">
        <f t="shared" si="16"/>
        <v>25.692594035406657</v>
      </c>
      <c r="R157">
        <f t="shared" si="17"/>
        <v>855.29682997118152</v>
      </c>
      <c r="S157">
        <f t="shared" si="18"/>
        <v>7328.0987654320988</v>
      </c>
      <c r="T157">
        <f t="shared" si="19"/>
        <v>-190115</v>
      </c>
      <c r="U157">
        <f t="shared" si="20"/>
        <v>-0.32028754531854386</v>
      </c>
      <c r="V157">
        <v>403461</v>
      </c>
    </row>
    <row r="158" spans="1:22" x14ac:dyDescent="0.25">
      <c r="A158" s="2">
        <v>157</v>
      </c>
      <c r="B158" s="1">
        <v>44242</v>
      </c>
      <c r="C158" s="1" t="str">
        <f t="shared" si="14"/>
        <v>Weekday</v>
      </c>
      <c r="D158" t="s">
        <v>13</v>
      </c>
      <c r="E158" t="str">
        <f t="shared" si="15"/>
        <v>Other</v>
      </c>
      <c r="F158" t="s">
        <v>14</v>
      </c>
      <c r="G158">
        <v>89459845</v>
      </c>
      <c r="H158">
        <v>315350</v>
      </c>
      <c r="I158">
        <v>82930.7</v>
      </c>
      <c r="J158">
        <v>6307</v>
      </c>
      <c r="K158">
        <v>126</v>
      </c>
      <c r="L158">
        <v>19</v>
      </c>
      <c r="M158">
        <f>IFERROR(Marketing_Data[[#This Row],[leads]]/Marketing_Data[[#This Row],[clicks]],0)</f>
        <v>1.9977802441731411E-2</v>
      </c>
      <c r="N158">
        <f>IFERROR(Marketing_Data[[#This Row],[clicks]]/Marketing_Data[[#This Row],[impressions]],0)</f>
        <v>0.02</v>
      </c>
      <c r="O158">
        <f>IFERROR(Marketing_Data[[#This Row],[orders]]/Marketing_Data[[#This Row],[leads]],0)</f>
        <v>0.15079365079365079</v>
      </c>
      <c r="P158">
        <f>IFERROR(Marketing_Data[[#This Row],[revenue]]/Marketing_Data[[#This Row],[orders]],0)</f>
        <v>7267</v>
      </c>
      <c r="Q158">
        <f t="shared" si="16"/>
        <v>13.148993182178531</v>
      </c>
      <c r="R158">
        <f t="shared" si="17"/>
        <v>658.18015873015872</v>
      </c>
      <c r="S158">
        <f t="shared" si="18"/>
        <v>4364.773684210526</v>
      </c>
      <c r="T158">
        <f t="shared" si="19"/>
        <v>55142.3</v>
      </c>
      <c r="U158">
        <f t="shared" si="20"/>
        <v>0.66492022857638977</v>
      </c>
      <c r="V158">
        <v>138073</v>
      </c>
    </row>
    <row r="159" spans="1:22" x14ac:dyDescent="0.25">
      <c r="A159" s="2">
        <v>158</v>
      </c>
      <c r="B159" s="1">
        <v>44242</v>
      </c>
      <c r="C159" s="1" t="str">
        <f t="shared" si="14"/>
        <v>Weekday</v>
      </c>
      <c r="D159" t="s">
        <v>15</v>
      </c>
      <c r="E159" t="str">
        <f t="shared" si="15"/>
        <v>Other</v>
      </c>
      <c r="F159" t="s">
        <v>14</v>
      </c>
      <c r="G159">
        <v>127823</v>
      </c>
      <c r="H159">
        <v>3359600</v>
      </c>
      <c r="I159">
        <v>124854</v>
      </c>
      <c r="J159">
        <v>16798</v>
      </c>
      <c r="K159">
        <v>336</v>
      </c>
      <c r="L159">
        <v>31</v>
      </c>
      <c r="M159">
        <f>IFERROR(Marketing_Data[[#This Row],[leads]]/Marketing_Data[[#This Row],[clicks]],0)</f>
        <v>2.0002381235861413E-2</v>
      </c>
      <c r="N159">
        <f>IFERROR(Marketing_Data[[#This Row],[clicks]]/Marketing_Data[[#This Row],[impressions]],0)</f>
        <v>5.0000000000000001E-3</v>
      </c>
      <c r="O159">
        <f>IFERROR(Marketing_Data[[#This Row],[orders]]/Marketing_Data[[#This Row],[leads]],0)</f>
        <v>9.2261904761904767E-2</v>
      </c>
      <c r="P159">
        <f>IFERROR(Marketing_Data[[#This Row],[revenue]]/Marketing_Data[[#This Row],[orders]],0)</f>
        <v>2981</v>
      </c>
      <c r="Q159">
        <f t="shared" si="16"/>
        <v>7.4326705560185733</v>
      </c>
      <c r="R159">
        <f t="shared" si="17"/>
        <v>371.58928571428572</v>
      </c>
      <c r="S159">
        <f t="shared" si="18"/>
        <v>4027.5483870967741</v>
      </c>
      <c r="T159">
        <f t="shared" si="19"/>
        <v>-32443</v>
      </c>
      <c r="U159">
        <f t="shared" si="20"/>
        <v>-0.25984750188219841</v>
      </c>
      <c r="V159">
        <v>92411</v>
      </c>
    </row>
    <row r="160" spans="1:22" x14ac:dyDescent="0.25">
      <c r="A160" s="2">
        <v>159</v>
      </c>
      <c r="B160" s="1">
        <v>44242</v>
      </c>
      <c r="C160" s="1" t="str">
        <f t="shared" si="14"/>
        <v>Weekday</v>
      </c>
      <c r="D160" t="s">
        <v>16</v>
      </c>
      <c r="E160" t="str">
        <f t="shared" si="15"/>
        <v>Other</v>
      </c>
      <c r="F160" t="s">
        <v>17</v>
      </c>
      <c r="G160">
        <v>10934</v>
      </c>
      <c r="H160">
        <v>2478877</v>
      </c>
      <c r="I160">
        <v>151480</v>
      </c>
      <c r="J160">
        <v>31504</v>
      </c>
      <c r="K160">
        <v>630</v>
      </c>
      <c r="L160">
        <v>98</v>
      </c>
      <c r="M160">
        <f>IFERROR(Marketing_Data[[#This Row],[leads]]/Marketing_Data[[#This Row],[clicks]],0)</f>
        <v>1.9997460639918741E-2</v>
      </c>
      <c r="N160">
        <f>IFERROR(Marketing_Data[[#This Row],[clicks]]/Marketing_Data[[#This Row],[impressions]],0)</f>
        <v>1.2708980719898568E-2</v>
      </c>
      <c r="O160">
        <f>IFERROR(Marketing_Data[[#This Row],[orders]]/Marketing_Data[[#This Row],[leads]],0)</f>
        <v>0.15555555555555556</v>
      </c>
      <c r="P160">
        <f>IFERROR(Marketing_Data[[#This Row],[revenue]]/Marketing_Data[[#This Row],[orders]],0)</f>
        <v>7981</v>
      </c>
      <c r="Q160">
        <f t="shared" si="16"/>
        <v>4.8082783138649061</v>
      </c>
      <c r="R160">
        <f t="shared" si="17"/>
        <v>240.44444444444446</v>
      </c>
      <c r="S160">
        <f t="shared" si="18"/>
        <v>1545.7142857142858</v>
      </c>
      <c r="T160">
        <f t="shared" si="19"/>
        <v>630658</v>
      </c>
      <c r="U160">
        <f t="shared" si="20"/>
        <v>4.163308687615527</v>
      </c>
      <c r="V160">
        <v>782138</v>
      </c>
    </row>
    <row r="161" spans="1:22" x14ac:dyDescent="0.25">
      <c r="A161" s="2">
        <v>160</v>
      </c>
      <c r="B161" s="1">
        <v>44242</v>
      </c>
      <c r="C161" s="1" t="str">
        <f t="shared" si="14"/>
        <v>Weekday</v>
      </c>
      <c r="D161" t="s">
        <v>18</v>
      </c>
      <c r="E161" t="str">
        <f t="shared" si="15"/>
        <v>Tier 1</v>
      </c>
      <c r="F161" t="s">
        <v>12</v>
      </c>
      <c r="G161">
        <v>9034945</v>
      </c>
      <c r="H161">
        <v>3780200</v>
      </c>
      <c r="I161">
        <v>136269</v>
      </c>
      <c r="J161">
        <v>18901</v>
      </c>
      <c r="K161">
        <v>378</v>
      </c>
      <c r="L161">
        <v>45</v>
      </c>
      <c r="M161">
        <f>IFERROR(Marketing_Data[[#This Row],[leads]]/Marketing_Data[[#This Row],[clicks]],0)</f>
        <v>1.9998941854928311E-2</v>
      </c>
      <c r="N161">
        <f>IFERROR(Marketing_Data[[#This Row],[clicks]]/Marketing_Data[[#This Row],[impressions]],0)</f>
        <v>5.0000000000000001E-3</v>
      </c>
      <c r="O161">
        <f>IFERROR(Marketing_Data[[#This Row],[orders]]/Marketing_Data[[#This Row],[leads]],0)</f>
        <v>0.11904761904761904</v>
      </c>
      <c r="P161">
        <f>IFERROR(Marketing_Data[[#This Row],[revenue]]/Marketing_Data[[#This Row],[orders]],0)</f>
        <v>5981</v>
      </c>
      <c r="Q161">
        <f t="shared" si="16"/>
        <v>7.2096185387016556</v>
      </c>
      <c r="R161">
        <f t="shared" si="17"/>
        <v>360.5</v>
      </c>
      <c r="S161">
        <f t="shared" si="18"/>
        <v>3028.2</v>
      </c>
      <c r="T161">
        <f t="shared" si="19"/>
        <v>132876</v>
      </c>
      <c r="U161">
        <f t="shared" si="20"/>
        <v>0.97510071989961034</v>
      </c>
      <c r="V161">
        <v>269145</v>
      </c>
    </row>
    <row r="162" spans="1:22" x14ac:dyDescent="0.25">
      <c r="A162" s="2">
        <v>161</v>
      </c>
      <c r="B162" s="1">
        <v>44242</v>
      </c>
      <c r="C162" s="1" t="str">
        <f t="shared" si="14"/>
        <v>Weekday</v>
      </c>
      <c r="D162" t="s">
        <v>19</v>
      </c>
      <c r="E162" t="str">
        <f t="shared" si="15"/>
        <v>Tier 2</v>
      </c>
      <c r="F162" t="s">
        <v>12</v>
      </c>
      <c r="G162">
        <v>983498</v>
      </c>
      <c r="H162">
        <v>7138400</v>
      </c>
      <c r="I162">
        <v>37098.6</v>
      </c>
      <c r="J162">
        <v>35692</v>
      </c>
      <c r="K162">
        <v>916</v>
      </c>
      <c r="L162">
        <v>11</v>
      </c>
      <c r="M162">
        <f>IFERROR(Marketing_Data[[#This Row],[leads]]/Marketing_Data[[#This Row],[clicks]],0)</f>
        <v>2.566401434495125E-2</v>
      </c>
      <c r="N162">
        <f>IFERROR(Marketing_Data[[#This Row],[clicks]]/Marketing_Data[[#This Row],[impressions]],0)</f>
        <v>5.0000000000000001E-3</v>
      </c>
      <c r="O162">
        <f>IFERROR(Marketing_Data[[#This Row],[orders]]/Marketing_Data[[#This Row],[leads]],0)</f>
        <v>1.2008733624454149E-2</v>
      </c>
      <c r="P162">
        <f>IFERROR(Marketing_Data[[#This Row],[revenue]]/Marketing_Data[[#This Row],[orders]],0)</f>
        <v>1981</v>
      </c>
      <c r="Q162">
        <f t="shared" si="16"/>
        <v>1.0394093914602711</v>
      </c>
      <c r="R162">
        <f t="shared" si="17"/>
        <v>40.500655021834056</v>
      </c>
      <c r="S162">
        <f t="shared" si="18"/>
        <v>3372.6</v>
      </c>
      <c r="T162">
        <f t="shared" si="19"/>
        <v>-15307.599999999999</v>
      </c>
      <c r="U162">
        <f t="shared" si="20"/>
        <v>-0.41261934412619344</v>
      </c>
      <c r="V162">
        <v>21791</v>
      </c>
    </row>
    <row r="163" spans="1:22" x14ac:dyDescent="0.25">
      <c r="A163" s="2">
        <v>162</v>
      </c>
      <c r="B163" s="1">
        <v>44242</v>
      </c>
      <c r="C163" s="1" t="str">
        <f t="shared" si="14"/>
        <v>Weekday</v>
      </c>
      <c r="D163" t="s">
        <v>20</v>
      </c>
      <c r="E163" t="str">
        <f t="shared" si="15"/>
        <v>Other</v>
      </c>
      <c r="F163" t="s">
        <v>12</v>
      </c>
      <c r="G163">
        <v>4387490</v>
      </c>
      <c r="H163">
        <v>63986</v>
      </c>
      <c r="I163">
        <v>14609.5</v>
      </c>
      <c r="J163">
        <v>2099</v>
      </c>
      <c r="K163">
        <v>28</v>
      </c>
      <c r="L163">
        <v>5</v>
      </c>
      <c r="M163">
        <f>IFERROR(Marketing_Data[[#This Row],[leads]]/Marketing_Data[[#This Row],[clicks]],0)</f>
        <v>1.3339685564554549E-2</v>
      </c>
      <c r="N163">
        <f>IFERROR(Marketing_Data[[#This Row],[clicks]]/Marketing_Data[[#This Row],[impressions]],0)</f>
        <v>3.2804050886131343E-2</v>
      </c>
      <c r="O163">
        <f>IFERROR(Marketing_Data[[#This Row],[orders]]/Marketing_Data[[#This Row],[leads]],0)</f>
        <v>0.17857142857142858</v>
      </c>
      <c r="P163">
        <f>IFERROR(Marketing_Data[[#This Row],[revenue]]/Marketing_Data[[#This Row],[orders]],0)</f>
        <v>4981</v>
      </c>
      <c r="Q163">
        <f t="shared" si="16"/>
        <v>6.9602191519771317</v>
      </c>
      <c r="R163">
        <f t="shared" si="17"/>
        <v>521.76785714285711</v>
      </c>
      <c r="S163">
        <f t="shared" si="18"/>
        <v>2921.9</v>
      </c>
      <c r="T163">
        <f t="shared" si="19"/>
        <v>10295.5</v>
      </c>
      <c r="U163">
        <f t="shared" si="20"/>
        <v>0.70471268695027212</v>
      </c>
      <c r="V163">
        <v>24905</v>
      </c>
    </row>
    <row r="164" spans="1:22" x14ac:dyDescent="0.25">
      <c r="A164" s="2">
        <v>163</v>
      </c>
      <c r="B164" s="1">
        <v>44242</v>
      </c>
      <c r="C164" s="1" t="str">
        <f t="shared" si="14"/>
        <v>Weekday</v>
      </c>
      <c r="D164" t="s">
        <v>21</v>
      </c>
      <c r="E164" t="str">
        <f t="shared" si="15"/>
        <v>Other</v>
      </c>
      <c r="F164" t="s">
        <v>12</v>
      </c>
      <c r="G164">
        <v>544756</v>
      </c>
      <c r="H164">
        <v>1093435</v>
      </c>
      <c r="I164">
        <v>6587.76</v>
      </c>
      <c r="J164">
        <v>8402</v>
      </c>
      <c r="K164">
        <v>4</v>
      </c>
      <c r="L164">
        <v>1</v>
      </c>
      <c r="M164">
        <f>IFERROR(Marketing_Data[[#This Row],[leads]]/Marketing_Data[[#This Row],[clicks]],0)</f>
        <v>4.7607712449416806E-4</v>
      </c>
      <c r="N164">
        <f>IFERROR(Marketing_Data[[#This Row],[clicks]]/Marketing_Data[[#This Row],[impressions]],0)</f>
        <v>7.6840415754022874E-3</v>
      </c>
      <c r="O164">
        <f>IFERROR(Marketing_Data[[#This Row],[orders]]/Marketing_Data[[#This Row],[leads]],0)</f>
        <v>0.25</v>
      </c>
      <c r="P164">
        <f>IFERROR(Marketing_Data[[#This Row],[revenue]]/Marketing_Data[[#This Row],[orders]],0)</f>
        <v>741</v>
      </c>
      <c r="Q164">
        <f t="shared" si="16"/>
        <v>0.78407045941442521</v>
      </c>
      <c r="R164">
        <f t="shared" si="17"/>
        <v>1646.94</v>
      </c>
      <c r="S164">
        <f t="shared" si="18"/>
        <v>6587.76</v>
      </c>
      <c r="T164">
        <f t="shared" si="19"/>
        <v>-5846.76</v>
      </c>
      <c r="U164">
        <f t="shared" si="20"/>
        <v>-0.88751867098983572</v>
      </c>
      <c r="V164">
        <v>741</v>
      </c>
    </row>
    <row r="165" spans="1:22" x14ac:dyDescent="0.25">
      <c r="A165" s="2">
        <v>164</v>
      </c>
      <c r="B165" s="1">
        <v>44242</v>
      </c>
      <c r="C165" s="1" t="str">
        <f t="shared" si="14"/>
        <v>Weekday</v>
      </c>
      <c r="D165" t="s">
        <v>22</v>
      </c>
      <c r="E165" t="str">
        <f t="shared" si="15"/>
        <v>Other</v>
      </c>
      <c r="F165" t="s">
        <v>17</v>
      </c>
      <c r="G165">
        <v>374754</v>
      </c>
      <c r="H165">
        <v>2100700</v>
      </c>
      <c r="I165">
        <v>82452</v>
      </c>
      <c r="J165">
        <v>21007</v>
      </c>
      <c r="K165">
        <v>122</v>
      </c>
      <c r="L165">
        <v>24</v>
      </c>
      <c r="M165">
        <f>IFERROR(Marketing_Data[[#This Row],[leads]]/Marketing_Data[[#This Row],[clicks]],0)</f>
        <v>5.8075879468748514E-3</v>
      </c>
      <c r="N165">
        <f>IFERROR(Marketing_Data[[#This Row],[clicks]]/Marketing_Data[[#This Row],[impressions]],0)</f>
        <v>0.01</v>
      </c>
      <c r="O165">
        <f>IFERROR(Marketing_Data[[#This Row],[orders]]/Marketing_Data[[#This Row],[leads]],0)</f>
        <v>0.19672131147540983</v>
      </c>
      <c r="P165">
        <f>IFERROR(Marketing_Data[[#This Row],[revenue]]/Marketing_Data[[#This Row],[orders]],0)</f>
        <v>4308</v>
      </c>
      <c r="Q165">
        <f t="shared" si="16"/>
        <v>3.9249773884895509</v>
      </c>
      <c r="R165">
        <f t="shared" si="17"/>
        <v>675.8360655737705</v>
      </c>
      <c r="S165">
        <f t="shared" si="18"/>
        <v>3435.5</v>
      </c>
      <c r="T165">
        <f t="shared" si="19"/>
        <v>20940</v>
      </c>
      <c r="U165">
        <f t="shared" si="20"/>
        <v>0.25396594382186</v>
      </c>
      <c r="V165">
        <v>103392</v>
      </c>
    </row>
    <row r="166" spans="1:22" x14ac:dyDescent="0.25">
      <c r="A166" s="2">
        <v>165</v>
      </c>
      <c r="B166" s="1">
        <v>44242</v>
      </c>
      <c r="C166" s="1" t="str">
        <f t="shared" si="14"/>
        <v>Weekday</v>
      </c>
      <c r="D166" t="s">
        <v>23</v>
      </c>
      <c r="E166" t="str">
        <f t="shared" si="15"/>
        <v>Other</v>
      </c>
      <c r="F166" t="s">
        <v>24</v>
      </c>
      <c r="G166">
        <v>39889</v>
      </c>
      <c r="H166">
        <v>8747458</v>
      </c>
      <c r="I166">
        <v>543275</v>
      </c>
      <c r="J166">
        <v>29390</v>
      </c>
      <c r="K166">
        <v>1061</v>
      </c>
      <c r="L166">
        <v>171</v>
      </c>
      <c r="M166">
        <f>IFERROR(Marketing_Data[[#This Row],[leads]]/Marketing_Data[[#This Row],[clicks]],0)</f>
        <v>3.6100714528751278E-2</v>
      </c>
      <c r="N166">
        <f>IFERROR(Marketing_Data[[#This Row],[clicks]]/Marketing_Data[[#This Row],[impressions]],0)</f>
        <v>3.3598332224058693E-3</v>
      </c>
      <c r="O166">
        <f>IFERROR(Marketing_Data[[#This Row],[orders]]/Marketing_Data[[#This Row],[leads]],0)</f>
        <v>0.16116870876531575</v>
      </c>
      <c r="P166">
        <f>IFERROR(Marketing_Data[[#This Row],[revenue]]/Marketing_Data[[#This Row],[orders]],0)</f>
        <v>4735</v>
      </c>
      <c r="Q166">
        <f t="shared" si="16"/>
        <v>18.485028921401838</v>
      </c>
      <c r="R166">
        <f t="shared" si="17"/>
        <v>512.04052780395853</v>
      </c>
      <c r="S166">
        <f t="shared" si="18"/>
        <v>3177.0467836257308</v>
      </c>
      <c r="T166">
        <f t="shared" si="19"/>
        <v>266410</v>
      </c>
      <c r="U166">
        <f t="shared" si="20"/>
        <v>0.49037780129768532</v>
      </c>
      <c r="V166">
        <v>809685</v>
      </c>
    </row>
    <row r="167" spans="1:22" x14ac:dyDescent="0.25">
      <c r="A167" s="2">
        <v>166</v>
      </c>
      <c r="B167" s="1">
        <v>44243</v>
      </c>
      <c r="C167" s="1" t="str">
        <f t="shared" si="14"/>
        <v>Weekday</v>
      </c>
      <c r="D167" t="s">
        <v>11</v>
      </c>
      <c r="E167" t="str">
        <f t="shared" si="15"/>
        <v>Tier 1</v>
      </c>
      <c r="F167" t="s">
        <v>12</v>
      </c>
      <c r="G167">
        <v>349043</v>
      </c>
      <c r="H167">
        <v>3839000</v>
      </c>
      <c r="I167">
        <v>393027</v>
      </c>
      <c r="J167">
        <v>19195</v>
      </c>
      <c r="K167">
        <v>384</v>
      </c>
      <c r="L167">
        <v>64</v>
      </c>
      <c r="M167">
        <f>IFERROR(Marketing_Data[[#This Row],[leads]]/Marketing_Data[[#This Row],[clicks]],0)</f>
        <v>2.0005209690023444E-2</v>
      </c>
      <c r="N167">
        <f>IFERROR(Marketing_Data[[#This Row],[clicks]]/Marketing_Data[[#This Row],[impressions]],0)</f>
        <v>5.0000000000000001E-3</v>
      </c>
      <c r="O167">
        <f>IFERROR(Marketing_Data[[#This Row],[orders]]/Marketing_Data[[#This Row],[leads]],0)</f>
        <v>0.16666666666666666</v>
      </c>
      <c r="P167">
        <f>IFERROR(Marketing_Data[[#This Row],[revenue]]/Marketing_Data[[#This Row],[orders]],0)</f>
        <v>5257</v>
      </c>
      <c r="Q167">
        <f t="shared" si="16"/>
        <v>20.475488408439698</v>
      </c>
      <c r="R167">
        <f t="shared" si="17"/>
        <v>1023.5078125</v>
      </c>
      <c r="S167">
        <f t="shared" si="18"/>
        <v>6141.046875</v>
      </c>
      <c r="T167">
        <f t="shared" si="19"/>
        <v>-56579</v>
      </c>
      <c r="U167">
        <f t="shared" si="20"/>
        <v>-0.14395703094189458</v>
      </c>
      <c r="V167">
        <v>336448</v>
      </c>
    </row>
    <row r="168" spans="1:22" x14ac:dyDescent="0.25">
      <c r="A168" s="2">
        <v>167</v>
      </c>
      <c r="B168" s="1">
        <v>44243</v>
      </c>
      <c r="C168" s="1" t="str">
        <f t="shared" si="14"/>
        <v>Weekday</v>
      </c>
      <c r="D168" t="s">
        <v>25</v>
      </c>
      <c r="E168" t="str">
        <f t="shared" si="15"/>
        <v>Tier 2</v>
      </c>
      <c r="F168" t="s">
        <v>12</v>
      </c>
      <c r="G168">
        <v>348934</v>
      </c>
      <c r="H168">
        <v>5280000</v>
      </c>
      <c r="I168">
        <v>595176</v>
      </c>
      <c r="J168">
        <v>26400</v>
      </c>
      <c r="K168">
        <v>923</v>
      </c>
      <c r="L168">
        <v>80</v>
      </c>
      <c r="M168">
        <f>IFERROR(Marketing_Data[[#This Row],[leads]]/Marketing_Data[[#This Row],[clicks]],0)</f>
        <v>3.4962121212121215E-2</v>
      </c>
      <c r="N168">
        <f>IFERROR(Marketing_Data[[#This Row],[clicks]]/Marketing_Data[[#This Row],[impressions]],0)</f>
        <v>5.0000000000000001E-3</v>
      </c>
      <c r="O168">
        <f>IFERROR(Marketing_Data[[#This Row],[orders]]/Marketing_Data[[#This Row],[leads]],0)</f>
        <v>8.6673889490790898E-2</v>
      </c>
      <c r="P168">
        <f>IFERROR(Marketing_Data[[#This Row],[revenue]]/Marketing_Data[[#This Row],[orders]],0)</f>
        <v>4902</v>
      </c>
      <c r="Q168">
        <f t="shared" si="16"/>
        <v>22.544545454545453</v>
      </c>
      <c r="R168">
        <f t="shared" si="17"/>
        <v>644.82773564463707</v>
      </c>
      <c r="S168">
        <f t="shared" si="18"/>
        <v>7439.7</v>
      </c>
      <c r="T168">
        <f t="shared" si="19"/>
        <v>-203016</v>
      </c>
      <c r="U168">
        <f t="shared" si="20"/>
        <v>-0.34110246380902454</v>
      </c>
      <c r="V168">
        <v>392160</v>
      </c>
    </row>
    <row r="169" spans="1:22" x14ac:dyDescent="0.25">
      <c r="A169" s="2">
        <v>168</v>
      </c>
      <c r="B169" s="1">
        <v>44243</v>
      </c>
      <c r="C169" s="1" t="str">
        <f t="shared" si="14"/>
        <v>Weekday</v>
      </c>
      <c r="D169" t="s">
        <v>13</v>
      </c>
      <c r="E169" t="str">
        <f t="shared" si="15"/>
        <v>Other</v>
      </c>
      <c r="F169" t="s">
        <v>14</v>
      </c>
      <c r="G169">
        <v>89459845</v>
      </c>
      <c r="H169">
        <v>373184</v>
      </c>
      <c r="I169">
        <v>102053</v>
      </c>
      <c r="J169">
        <v>7198</v>
      </c>
      <c r="K169">
        <v>144</v>
      </c>
      <c r="L169">
        <v>22</v>
      </c>
      <c r="M169">
        <f>IFERROR(Marketing_Data[[#This Row],[leads]]/Marketing_Data[[#This Row],[clicks]],0)</f>
        <v>2.0005557099194219E-2</v>
      </c>
      <c r="N169">
        <f>IFERROR(Marketing_Data[[#This Row],[clicks]]/Marketing_Data[[#This Row],[impressions]],0)</f>
        <v>1.9288072371805864E-2</v>
      </c>
      <c r="O169">
        <f>IFERROR(Marketing_Data[[#This Row],[orders]]/Marketing_Data[[#This Row],[leads]],0)</f>
        <v>0.15277777777777779</v>
      </c>
      <c r="P169">
        <f>IFERROR(Marketing_Data[[#This Row],[revenue]]/Marketing_Data[[#This Row],[orders]],0)</f>
        <v>8431</v>
      </c>
      <c r="Q169">
        <f t="shared" si="16"/>
        <v>14.177966101694915</v>
      </c>
      <c r="R169">
        <f t="shared" si="17"/>
        <v>708.70138888888891</v>
      </c>
      <c r="S169">
        <f t="shared" si="18"/>
        <v>4638.772727272727</v>
      </c>
      <c r="T169">
        <f t="shared" si="19"/>
        <v>83429</v>
      </c>
      <c r="U169">
        <f t="shared" si="20"/>
        <v>0.81750658971318824</v>
      </c>
      <c r="V169">
        <v>185482</v>
      </c>
    </row>
    <row r="170" spans="1:22" x14ac:dyDescent="0.25">
      <c r="A170" s="2">
        <v>169</v>
      </c>
      <c r="B170" s="1">
        <v>44243</v>
      </c>
      <c r="C170" s="1" t="str">
        <f t="shared" si="14"/>
        <v>Weekday</v>
      </c>
      <c r="D170" t="s">
        <v>15</v>
      </c>
      <c r="E170" t="str">
        <f t="shared" si="15"/>
        <v>Other</v>
      </c>
      <c r="F170" t="s">
        <v>14</v>
      </c>
      <c r="G170">
        <v>127823</v>
      </c>
      <c r="H170">
        <v>3841400</v>
      </c>
      <c r="I170">
        <v>271906</v>
      </c>
      <c r="J170">
        <v>19207</v>
      </c>
      <c r="K170">
        <v>666</v>
      </c>
      <c r="L170">
        <v>67</v>
      </c>
      <c r="M170">
        <f>IFERROR(Marketing_Data[[#This Row],[leads]]/Marketing_Data[[#This Row],[clicks]],0)</f>
        <v>3.4674858124642056E-2</v>
      </c>
      <c r="N170">
        <f>IFERROR(Marketing_Data[[#This Row],[clicks]]/Marketing_Data[[#This Row],[impressions]],0)</f>
        <v>5.0000000000000001E-3</v>
      </c>
      <c r="O170">
        <f>IFERROR(Marketing_Data[[#This Row],[orders]]/Marketing_Data[[#This Row],[leads]],0)</f>
        <v>0.1006006006006006</v>
      </c>
      <c r="P170">
        <f>IFERROR(Marketing_Data[[#This Row],[revenue]]/Marketing_Data[[#This Row],[orders]],0)</f>
        <v>2981</v>
      </c>
      <c r="Q170">
        <f t="shared" si="16"/>
        <v>14.156609569427813</v>
      </c>
      <c r="R170">
        <f t="shared" si="17"/>
        <v>408.26726726726724</v>
      </c>
      <c r="S170">
        <f t="shared" si="18"/>
        <v>4058.2985074626868</v>
      </c>
      <c r="T170">
        <f t="shared" si="19"/>
        <v>-72179</v>
      </c>
      <c r="U170">
        <f t="shared" si="20"/>
        <v>-0.26545570895824294</v>
      </c>
      <c r="V170">
        <v>199727</v>
      </c>
    </row>
    <row r="171" spans="1:22" x14ac:dyDescent="0.25">
      <c r="A171" s="2">
        <v>170</v>
      </c>
      <c r="B171" s="1">
        <v>44243</v>
      </c>
      <c r="C171" s="1" t="str">
        <f t="shared" si="14"/>
        <v>Weekday</v>
      </c>
      <c r="D171" t="s">
        <v>16</v>
      </c>
      <c r="E171" t="str">
        <f t="shared" si="15"/>
        <v>Other</v>
      </c>
      <c r="F171" t="s">
        <v>17</v>
      </c>
      <c r="G171">
        <v>10934</v>
      </c>
      <c r="H171">
        <v>4371118</v>
      </c>
      <c r="I171">
        <v>221258</v>
      </c>
      <c r="J171">
        <v>35999</v>
      </c>
      <c r="K171">
        <v>720</v>
      </c>
      <c r="L171">
        <v>128</v>
      </c>
      <c r="M171">
        <f>IFERROR(Marketing_Data[[#This Row],[leads]]/Marketing_Data[[#This Row],[clicks]],0)</f>
        <v>2.0000555570988083E-2</v>
      </c>
      <c r="N171">
        <f>IFERROR(Marketing_Data[[#This Row],[clicks]]/Marketing_Data[[#This Row],[impressions]],0)</f>
        <v>8.2356504674547786E-3</v>
      </c>
      <c r="O171">
        <f>IFERROR(Marketing_Data[[#This Row],[orders]]/Marketing_Data[[#This Row],[leads]],0)</f>
        <v>0.17777777777777778</v>
      </c>
      <c r="P171">
        <f>IFERROR(Marketing_Data[[#This Row],[revenue]]/Marketing_Data[[#This Row],[orders]],0)</f>
        <v>7981.015625</v>
      </c>
      <c r="Q171">
        <f t="shared" si="16"/>
        <v>6.1462262840634461</v>
      </c>
      <c r="R171">
        <f t="shared" si="17"/>
        <v>307.30277777777781</v>
      </c>
      <c r="S171">
        <f t="shared" si="18"/>
        <v>1728.578125</v>
      </c>
      <c r="T171">
        <f t="shared" si="19"/>
        <v>800312</v>
      </c>
      <c r="U171">
        <f t="shared" si="20"/>
        <v>3.6170985907854178</v>
      </c>
      <c r="V171">
        <v>1021570</v>
      </c>
    </row>
    <row r="172" spans="1:22" x14ac:dyDescent="0.25">
      <c r="A172" s="2">
        <v>171</v>
      </c>
      <c r="B172" s="1">
        <v>44243</v>
      </c>
      <c r="C172" s="1" t="str">
        <f t="shared" si="14"/>
        <v>Weekday</v>
      </c>
      <c r="D172" t="s">
        <v>18</v>
      </c>
      <c r="E172" t="str">
        <f t="shared" si="15"/>
        <v>Tier 1</v>
      </c>
      <c r="F172" t="s">
        <v>12</v>
      </c>
      <c r="G172">
        <v>9034945</v>
      </c>
      <c r="H172">
        <v>4319200</v>
      </c>
      <c r="I172">
        <v>143680</v>
      </c>
      <c r="J172">
        <v>21596</v>
      </c>
      <c r="K172">
        <v>432</v>
      </c>
      <c r="L172">
        <v>34</v>
      </c>
      <c r="M172">
        <f>IFERROR(Marketing_Data[[#This Row],[leads]]/Marketing_Data[[#This Row],[clicks]],0)</f>
        <v>2.0003704389701796E-2</v>
      </c>
      <c r="N172">
        <f>IFERROR(Marketing_Data[[#This Row],[clicks]]/Marketing_Data[[#This Row],[impressions]],0)</f>
        <v>5.0000000000000001E-3</v>
      </c>
      <c r="O172">
        <f>IFERROR(Marketing_Data[[#This Row],[orders]]/Marketing_Data[[#This Row],[leads]],0)</f>
        <v>7.8703703703703706E-2</v>
      </c>
      <c r="P172">
        <f>IFERROR(Marketing_Data[[#This Row],[revenue]]/Marketing_Data[[#This Row],[orders]],0)</f>
        <v>5058</v>
      </c>
      <c r="Q172">
        <f t="shared" si="16"/>
        <v>6.6530839044267456</v>
      </c>
      <c r="R172">
        <f t="shared" si="17"/>
        <v>332.59259259259261</v>
      </c>
      <c r="S172">
        <f t="shared" si="18"/>
        <v>4225.8823529411766</v>
      </c>
      <c r="T172">
        <f t="shared" si="19"/>
        <v>28292</v>
      </c>
      <c r="U172">
        <f t="shared" si="20"/>
        <v>0.1969097995545657</v>
      </c>
      <c r="V172">
        <v>171972</v>
      </c>
    </row>
    <row r="173" spans="1:22" x14ac:dyDescent="0.25">
      <c r="A173" s="2">
        <v>172</v>
      </c>
      <c r="B173" s="1">
        <v>44243</v>
      </c>
      <c r="C173" s="1" t="str">
        <f t="shared" si="14"/>
        <v>Weekday</v>
      </c>
      <c r="D173" t="s">
        <v>19</v>
      </c>
      <c r="E173" t="str">
        <f t="shared" si="15"/>
        <v>Tier 2</v>
      </c>
      <c r="F173" t="s">
        <v>12</v>
      </c>
      <c r="G173">
        <v>983498</v>
      </c>
      <c r="H173">
        <v>15988504</v>
      </c>
      <c r="I173">
        <v>103731</v>
      </c>
      <c r="J173">
        <v>40794</v>
      </c>
      <c r="K173">
        <v>816</v>
      </c>
      <c r="L173">
        <v>24</v>
      </c>
      <c r="M173">
        <f>IFERROR(Marketing_Data[[#This Row],[leads]]/Marketing_Data[[#This Row],[clicks]],0)</f>
        <v>2.0002941609060156E-2</v>
      </c>
      <c r="N173">
        <f>IFERROR(Marketing_Data[[#This Row],[clicks]]/Marketing_Data[[#This Row],[impressions]],0)</f>
        <v>2.5514582227330338E-3</v>
      </c>
      <c r="O173">
        <f>IFERROR(Marketing_Data[[#This Row],[orders]]/Marketing_Data[[#This Row],[leads]],0)</f>
        <v>2.9411764705882353E-2</v>
      </c>
      <c r="P173">
        <f>IFERROR(Marketing_Data[[#This Row],[revenue]]/Marketing_Data[[#This Row],[orders]],0)</f>
        <v>1726</v>
      </c>
      <c r="Q173">
        <f t="shared" si="16"/>
        <v>2.5428004118252683</v>
      </c>
      <c r="R173">
        <f t="shared" si="17"/>
        <v>127.12132352941177</v>
      </c>
      <c r="S173">
        <f t="shared" si="18"/>
        <v>4322.125</v>
      </c>
      <c r="T173">
        <f t="shared" si="19"/>
        <v>-62307</v>
      </c>
      <c r="U173">
        <f t="shared" si="20"/>
        <v>-0.60065939786563327</v>
      </c>
      <c r="V173">
        <v>41424</v>
      </c>
    </row>
    <row r="174" spans="1:22" x14ac:dyDescent="0.25">
      <c r="A174" s="2">
        <v>173</v>
      </c>
      <c r="B174" s="1">
        <v>44243</v>
      </c>
      <c r="C174" s="1" t="str">
        <f t="shared" si="14"/>
        <v>Weekday</v>
      </c>
      <c r="D174" t="s">
        <v>20</v>
      </c>
      <c r="E174" t="str">
        <f t="shared" si="15"/>
        <v>Other</v>
      </c>
      <c r="F174" t="s">
        <v>12</v>
      </c>
      <c r="G174">
        <v>4387490</v>
      </c>
      <c r="H174">
        <v>80233</v>
      </c>
      <c r="I174">
        <v>31712</v>
      </c>
      <c r="J174">
        <v>2407</v>
      </c>
      <c r="K174">
        <v>48</v>
      </c>
      <c r="L174">
        <v>12</v>
      </c>
      <c r="M174">
        <f>IFERROR(Marketing_Data[[#This Row],[leads]]/Marketing_Data[[#This Row],[clicks]],0)</f>
        <v>1.9941836310760283E-2</v>
      </c>
      <c r="N174">
        <f>IFERROR(Marketing_Data[[#This Row],[clicks]]/Marketing_Data[[#This Row],[impressions]],0)</f>
        <v>3.0000124636994752E-2</v>
      </c>
      <c r="O174">
        <f>IFERROR(Marketing_Data[[#This Row],[orders]]/Marketing_Data[[#This Row],[leads]],0)</f>
        <v>0.25</v>
      </c>
      <c r="P174">
        <f>IFERROR(Marketing_Data[[#This Row],[revenue]]/Marketing_Data[[#This Row],[orders]],0)</f>
        <v>4981</v>
      </c>
      <c r="Q174">
        <f t="shared" si="16"/>
        <v>13.174906522642294</v>
      </c>
      <c r="R174">
        <f t="shared" si="17"/>
        <v>660.66666666666663</v>
      </c>
      <c r="S174">
        <f t="shared" si="18"/>
        <v>2642.6666666666665</v>
      </c>
      <c r="T174">
        <f t="shared" si="19"/>
        <v>28060</v>
      </c>
      <c r="U174">
        <f t="shared" si="20"/>
        <v>0.88483854692230068</v>
      </c>
      <c r="V174">
        <v>59772</v>
      </c>
    </row>
    <row r="175" spans="1:22" x14ac:dyDescent="0.25">
      <c r="A175" s="2">
        <v>174</v>
      </c>
      <c r="B175" s="1">
        <v>44243</v>
      </c>
      <c r="C175" s="1" t="str">
        <f t="shared" si="14"/>
        <v>Weekday</v>
      </c>
      <c r="D175" t="s">
        <v>21</v>
      </c>
      <c r="E175" t="str">
        <f t="shared" si="15"/>
        <v>Other</v>
      </c>
      <c r="F175" t="s">
        <v>12</v>
      </c>
      <c r="G175">
        <v>544756</v>
      </c>
      <c r="H175">
        <v>1576818</v>
      </c>
      <c r="I175">
        <v>345629</v>
      </c>
      <c r="J175">
        <v>9597</v>
      </c>
      <c r="K175">
        <v>292</v>
      </c>
      <c r="L175">
        <v>39</v>
      </c>
      <c r="M175">
        <f>IFERROR(Marketing_Data[[#This Row],[leads]]/Marketing_Data[[#This Row],[clicks]],0)</f>
        <v>3.0426174846306137E-2</v>
      </c>
      <c r="N175">
        <f>IFERROR(Marketing_Data[[#This Row],[clicks]]/Marketing_Data[[#This Row],[impressions]],0)</f>
        <v>6.086307994962006E-3</v>
      </c>
      <c r="O175">
        <f>IFERROR(Marketing_Data[[#This Row],[orders]]/Marketing_Data[[#This Row],[leads]],0)</f>
        <v>0.13356164383561644</v>
      </c>
      <c r="P175">
        <f>IFERROR(Marketing_Data[[#This Row],[revenue]]/Marketing_Data[[#This Row],[orders]],0)</f>
        <v>663</v>
      </c>
      <c r="Q175">
        <f t="shared" si="16"/>
        <v>36.014275294362825</v>
      </c>
      <c r="R175">
        <f t="shared" si="17"/>
        <v>1183.6609589041095</v>
      </c>
      <c r="S175">
        <f t="shared" si="18"/>
        <v>8862.2820512820508</v>
      </c>
      <c r="T175">
        <f t="shared" si="19"/>
        <v>-319772</v>
      </c>
      <c r="U175">
        <f t="shared" si="20"/>
        <v>-0.92518856924621484</v>
      </c>
      <c r="V175">
        <v>25857</v>
      </c>
    </row>
    <row r="176" spans="1:22" x14ac:dyDescent="0.25">
      <c r="A176" s="2">
        <v>175</v>
      </c>
      <c r="B176" s="1">
        <v>44243</v>
      </c>
      <c r="C176" s="1" t="str">
        <f t="shared" si="14"/>
        <v>Weekday</v>
      </c>
      <c r="D176" t="s">
        <v>22</v>
      </c>
      <c r="E176" t="str">
        <f t="shared" si="15"/>
        <v>Other</v>
      </c>
      <c r="F176" t="s">
        <v>17</v>
      </c>
      <c r="G176">
        <v>374754</v>
      </c>
      <c r="H176">
        <v>3937010</v>
      </c>
      <c r="I176">
        <v>620903</v>
      </c>
      <c r="J176">
        <v>23994</v>
      </c>
      <c r="K176">
        <v>833</v>
      </c>
      <c r="L176">
        <v>160</v>
      </c>
      <c r="M176">
        <f>IFERROR(Marketing_Data[[#This Row],[leads]]/Marketing_Data[[#This Row],[clicks]],0)</f>
        <v>3.4717012586479953E-2</v>
      </c>
      <c r="N176">
        <f>IFERROR(Marketing_Data[[#This Row],[clicks]]/Marketing_Data[[#This Row],[impressions]],0)</f>
        <v>6.0944727089847373E-3</v>
      </c>
      <c r="O176">
        <f>IFERROR(Marketing_Data[[#This Row],[orders]]/Marketing_Data[[#This Row],[leads]],0)</f>
        <v>0.19207683073229292</v>
      </c>
      <c r="P176">
        <f>IFERROR(Marketing_Data[[#This Row],[revenue]]/Marketing_Data[[#This Row],[orders]],0)</f>
        <v>5871</v>
      </c>
      <c r="Q176">
        <f t="shared" si="16"/>
        <v>25.877427690255896</v>
      </c>
      <c r="R176">
        <f t="shared" si="17"/>
        <v>745.38175270108047</v>
      </c>
      <c r="S176">
        <f t="shared" si="18"/>
        <v>3880.6437500000002</v>
      </c>
      <c r="T176">
        <f t="shared" si="19"/>
        <v>318457</v>
      </c>
      <c r="U176">
        <f t="shared" si="20"/>
        <v>0.51289331827998896</v>
      </c>
      <c r="V176">
        <v>939360</v>
      </c>
    </row>
    <row r="177" spans="1:22" x14ac:dyDescent="0.25">
      <c r="A177" s="2">
        <v>176</v>
      </c>
      <c r="B177" s="1">
        <v>44243</v>
      </c>
      <c r="C177" s="1" t="str">
        <f t="shared" si="14"/>
        <v>Weekday</v>
      </c>
      <c r="D177" t="s">
        <v>23</v>
      </c>
      <c r="E177" t="str">
        <f t="shared" si="15"/>
        <v>Other</v>
      </c>
      <c r="F177" t="s">
        <v>24</v>
      </c>
      <c r="G177">
        <v>39889</v>
      </c>
      <c r="H177">
        <v>56876855</v>
      </c>
      <c r="I177">
        <v>206424</v>
      </c>
      <c r="J177">
        <v>33592</v>
      </c>
      <c r="K177">
        <v>416</v>
      </c>
      <c r="L177">
        <v>62</v>
      </c>
      <c r="M177">
        <f>IFERROR(Marketing_Data[[#This Row],[leads]]/Marketing_Data[[#This Row],[clicks]],0)</f>
        <v>1.238390092879257E-2</v>
      </c>
      <c r="N177">
        <f>IFERROR(Marketing_Data[[#This Row],[clicks]]/Marketing_Data[[#This Row],[impressions]],0)</f>
        <v>5.9060930847881798E-4</v>
      </c>
      <c r="O177">
        <f>IFERROR(Marketing_Data[[#This Row],[orders]]/Marketing_Data[[#This Row],[leads]],0)</f>
        <v>0.14903846153846154</v>
      </c>
      <c r="P177">
        <f>IFERROR(Marketing_Data[[#This Row],[revenue]]/Marketing_Data[[#This Row],[orders]],0)</f>
        <v>3981</v>
      </c>
      <c r="Q177">
        <f t="shared" si="16"/>
        <v>6.1450345320314357</v>
      </c>
      <c r="R177">
        <f t="shared" si="17"/>
        <v>496.21153846153845</v>
      </c>
      <c r="S177">
        <f t="shared" si="18"/>
        <v>3329.4193548387098</v>
      </c>
      <c r="T177">
        <f t="shared" si="19"/>
        <v>40398</v>
      </c>
      <c r="U177">
        <f t="shared" si="20"/>
        <v>0.19570398790838275</v>
      </c>
      <c r="V177">
        <v>246822</v>
      </c>
    </row>
    <row r="178" spans="1:22" x14ac:dyDescent="0.25">
      <c r="A178" s="2">
        <v>177</v>
      </c>
      <c r="B178" s="1">
        <v>44244</v>
      </c>
      <c r="C178" s="1" t="str">
        <f t="shared" si="14"/>
        <v>Weekday</v>
      </c>
      <c r="D178" t="s">
        <v>11</v>
      </c>
      <c r="E178" t="str">
        <f t="shared" si="15"/>
        <v>Tier 1</v>
      </c>
      <c r="F178" t="s">
        <v>12</v>
      </c>
      <c r="G178">
        <v>349043</v>
      </c>
      <c r="H178">
        <v>4320600</v>
      </c>
      <c r="I178">
        <v>489831</v>
      </c>
      <c r="J178">
        <v>21603</v>
      </c>
      <c r="K178">
        <v>652</v>
      </c>
      <c r="L178">
        <v>86</v>
      </c>
      <c r="M178">
        <f>IFERROR(Marketing_Data[[#This Row],[leads]]/Marketing_Data[[#This Row],[clicks]],0)</f>
        <v>3.0180993380548998E-2</v>
      </c>
      <c r="N178">
        <f>IFERROR(Marketing_Data[[#This Row],[clicks]]/Marketing_Data[[#This Row],[impressions]],0)</f>
        <v>5.0000000000000001E-3</v>
      </c>
      <c r="O178">
        <f>IFERROR(Marketing_Data[[#This Row],[orders]]/Marketing_Data[[#This Row],[leads]],0)</f>
        <v>0.13190184049079753</v>
      </c>
      <c r="P178">
        <f>IFERROR(Marketing_Data[[#This Row],[revenue]]/Marketing_Data[[#This Row],[orders]],0)</f>
        <v>4981</v>
      </c>
      <c r="Q178">
        <f t="shared" si="16"/>
        <v>22.674211915011803</v>
      </c>
      <c r="R178">
        <f t="shared" si="17"/>
        <v>751.27453987730064</v>
      </c>
      <c r="S178">
        <f t="shared" si="18"/>
        <v>5695.7093023255811</v>
      </c>
      <c r="T178">
        <f t="shared" si="19"/>
        <v>-61465</v>
      </c>
      <c r="U178">
        <f t="shared" si="20"/>
        <v>-0.12548205401454787</v>
      </c>
      <c r="V178">
        <v>428366</v>
      </c>
    </row>
    <row r="179" spans="1:22" x14ac:dyDescent="0.25">
      <c r="A179" s="2">
        <v>178</v>
      </c>
      <c r="B179" s="1">
        <v>44244</v>
      </c>
      <c r="C179" s="1" t="str">
        <f t="shared" si="14"/>
        <v>Weekday</v>
      </c>
      <c r="D179" t="s">
        <v>25</v>
      </c>
      <c r="E179" t="str">
        <f t="shared" si="15"/>
        <v>Tier 2</v>
      </c>
      <c r="F179" t="s">
        <v>12</v>
      </c>
      <c r="G179">
        <v>348934</v>
      </c>
      <c r="H179">
        <v>6102420</v>
      </c>
      <c r="I179">
        <v>403691</v>
      </c>
      <c r="J179">
        <v>29704</v>
      </c>
      <c r="K179">
        <v>594</v>
      </c>
      <c r="L179">
        <v>61</v>
      </c>
      <c r="M179">
        <f>IFERROR(Marketing_Data[[#This Row],[leads]]/Marketing_Data[[#This Row],[clicks]],0)</f>
        <v>1.9997306760032318E-2</v>
      </c>
      <c r="N179">
        <f>IFERROR(Marketing_Data[[#This Row],[clicks]]/Marketing_Data[[#This Row],[impressions]],0)</f>
        <v>4.8675771251405183E-3</v>
      </c>
      <c r="O179">
        <f>IFERROR(Marketing_Data[[#This Row],[orders]]/Marketing_Data[[#This Row],[leads]],0)</f>
        <v>0.1026936026936027</v>
      </c>
      <c r="P179">
        <f>IFERROR(Marketing_Data[[#This Row],[revenue]]/Marketing_Data[[#This Row],[orders]],0)</f>
        <v>4981</v>
      </c>
      <c r="Q179">
        <f t="shared" si="16"/>
        <v>13.590459197414489</v>
      </c>
      <c r="R179">
        <f t="shared" si="17"/>
        <v>679.61447811447806</v>
      </c>
      <c r="S179">
        <f t="shared" si="18"/>
        <v>6617.8852459016398</v>
      </c>
      <c r="T179">
        <f t="shared" si="19"/>
        <v>-99850</v>
      </c>
      <c r="U179">
        <f t="shared" si="20"/>
        <v>-0.24734264573646675</v>
      </c>
      <c r="V179">
        <v>303841</v>
      </c>
    </row>
    <row r="180" spans="1:22" x14ac:dyDescent="0.25">
      <c r="A180" s="2">
        <v>179</v>
      </c>
      <c r="B180" s="1">
        <v>44244</v>
      </c>
      <c r="C180" s="1" t="str">
        <f t="shared" si="14"/>
        <v>Weekday</v>
      </c>
      <c r="D180" t="s">
        <v>13</v>
      </c>
      <c r="E180" t="str">
        <f t="shared" si="15"/>
        <v>Other</v>
      </c>
      <c r="F180" t="s">
        <v>14</v>
      </c>
      <c r="G180">
        <v>89459845</v>
      </c>
      <c r="H180">
        <v>490058</v>
      </c>
      <c r="I180">
        <v>116213</v>
      </c>
      <c r="J180">
        <v>8104</v>
      </c>
      <c r="K180">
        <v>162</v>
      </c>
      <c r="L180">
        <v>31</v>
      </c>
      <c r="M180">
        <f>IFERROR(Marketing_Data[[#This Row],[leads]]/Marketing_Data[[#This Row],[clicks]],0)</f>
        <v>1.9990128331688055E-2</v>
      </c>
      <c r="N180">
        <f>IFERROR(Marketing_Data[[#This Row],[clicks]]/Marketing_Data[[#This Row],[impressions]],0)</f>
        <v>1.653681809091985E-2</v>
      </c>
      <c r="O180">
        <f>IFERROR(Marketing_Data[[#This Row],[orders]]/Marketing_Data[[#This Row],[leads]],0)</f>
        <v>0.19135802469135801</v>
      </c>
      <c r="P180">
        <f>IFERROR(Marketing_Data[[#This Row],[revenue]]/Marketing_Data[[#This Row],[orders]],0)</f>
        <v>7346</v>
      </c>
      <c r="Q180">
        <f t="shared" si="16"/>
        <v>14.340202369200394</v>
      </c>
      <c r="R180">
        <f t="shared" si="17"/>
        <v>717.3641975308642</v>
      </c>
      <c r="S180">
        <f t="shared" si="18"/>
        <v>3748.8064516129034</v>
      </c>
      <c r="T180">
        <f t="shared" si="19"/>
        <v>111513</v>
      </c>
      <c r="U180">
        <f t="shared" si="20"/>
        <v>0.95955702029893386</v>
      </c>
      <c r="V180">
        <v>227726</v>
      </c>
    </row>
    <row r="181" spans="1:22" x14ac:dyDescent="0.25">
      <c r="A181" s="2">
        <v>180</v>
      </c>
      <c r="B181" s="1">
        <v>44244</v>
      </c>
      <c r="C181" s="1" t="str">
        <f t="shared" si="14"/>
        <v>Weekday</v>
      </c>
      <c r="D181" t="s">
        <v>15</v>
      </c>
      <c r="E181" t="str">
        <f t="shared" si="15"/>
        <v>Other</v>
      </c>
      <c r="F181" t="s">
        <v>14</v>
      </c>
      <c r="G181">
        <v>127823</v>
      </c>
      <c r="H181">
        <v>4319200</v>
      </c>
      <c r="I181">
        <v>180223</v>
      </c>
      <c r="J181">
        <v>21596</v>
      </c>
      <c r="K181">
        <v>442</v>
      </c>
      <c r="L181">
        <v>44</v>
      </c>
      <c r="M181">
        <f>IFERROR(Marketing_Data[[#This Row],[leads]]/Marketing_Data[[#This Row],[clicks]],0)</f>
        <v>2.0466753102426374E-2</v>
      </c>
      <c r="N181">
        <f>IFERROR(Marketing_Data[[#This Row],[clicks]]/Marketing_Data[[#This Row],[impressions]],0)</f>
        <v>5.0000000000000001E-3</v>
      </c>
      <c r="O181">
        <f>IFERROR(Marketing_Data[[#This Row],[orders]]/Marketing_Data[[#This Row],[leads]],0)</f>
        <v>9.9547511312217188E-2</v>
      </c>
      <c r="P181">
        <f>IFERROR(Marketing_Data[[#This Row],[revenue]]/Marketing_Data[[#This Row],[orders]],0)</f>
        <v>3107</v>
      </c>
      <c r="Q181">
        <f t="shared" si="16"/>
        <v>8.3452028153361741</v>
      </c>
      <c r="R181">
        <f t="shared" si="17"/>
        <v>407.74434389140271</v>
      </c>
      <c r="S181">
        <f t="shared" si="18"/>
        <v>4095.9772727272725</v>
      </c>
      <c r="T181">
        <f t="shared" si="19"/>
        <v>-43515</v>
      </c>
      <c r="U181">
        <f t="shared" si="20"/>
        <v>-0.24145086920093439</v>
      </c>
      <c r="V181">
        <v>136708</v>
      </c>
    </row>
    <row r="182" spans="1:22" x14ac:dyDescent="0.25">
      <c r="A182" s="2">
        <v>181</v>
      </c>
      <c r="B182" s="1">
        <v>44244</v>
      </c>
      <c r="C182" s="1" t="str">
        <f t="shared" si="14"/>
        <v>Weekday</v>
      </c>
      <c r="D182" t="s">
        <v>16</v>
      </c>
      <c r="E182" t="str">
        <f t="shared" si="15"/>
        <v>Other</v>
      </c>
      <c r="F182" t="s">
        <v>17</v>
      </c>
      <c r="G182">
        <v>10934</v>
      </c>
      <c r="H182">
        <v>4049400</v>
      </c>
      <c r="I182">
        <v>363811</v>
      </c>
      <c r="J182">
        <v>40494</v>
      </c>
      <c r="K182">
        <v>746</v>
      </c>
      <c r="L182">
        <v>149</v>
      </c>
      <c r="M182">
        <f>IFERROR(Marketing_Data[[#This Row],[leads]]/Marketing_Data[[#This Row],[clicks]],0)</f>
        <v>1.8422482343063169E-2</v>
      </c>
      <c r="N182">
        <f>IFERROR(Marketing_Data[[#This Row],[clicks]]/Marketing_Data[[#This Row],[impressions]],0)</f>
        <v>0.01</v>
      </c>
      <c r="O182">
        <f>IFERROR(Marketing_Data[[#This Row],[orders]]/Marketing_Data[[#This Row],[leads]],0)</f>
        <v>0.19973190348525469</v>
      </c>
      <c r="P182">
        <f>IFERROR(Marketing_Data[[#This Row],[revenue]]/Marketing_Data[[#This Row],[orders]],0)</f>
        <v>7981.0067114093963</v>
      </c>
      <c r="Q182">
        <f t="shared" si="16"/>
        <v>8.9843186644935056</v>
      </c>
      <c r="R182">
        <f t="shared" si="17"/>
        <v>487.6823056300268</v>
      </c>
      <c r="S182">
        <f t="shared" si="18"/>
        <v>2441.6845637583892</v>
      </c>
      <c r="T182">
        <f t="shared" si="19"/>
        <v>825359</v>
      </c>
      <c r="U182">
        <f t="shared" si="20"/>
        <v>2.268647731926742</v>
      </c>
      <c r="V182">
        <v>1189170</v>
      </c>
    </row>
    <row r="183" spans="1:22" x14ac:dyDescent="0.25">
      <c r="A183" s="2">
        <v>182</v>
      </c>
      <c r="B183" s="1">
        <v>44244</v>
      </c>
      <c r="C183" s="1" t="str">
        <f t="shared" si="14"/>
        <v>Weekday</v>
      </c>
      <c r="D183" t="s">
        <v>18</v>
      </c>
      <c r="E183" t="str">
        <f t="shared" si="15"/>
        <v>Tier 1</v>
      </c>
      <c r="F183" t="s">
        <v>12</v>
      </c>
      <c r="G183">
        <v>9034945</v>
      </c>
      <c r="H183">
        <v>4999407</v>
      </c>
      <c r="I183">
        <v>246023</v>
      </c>
      <c r="J183">
        <v>24294</v>
      </c>
      <c r="K183">
        <v>606</v>
      </c>
      <c r="L183">
        <v>73</v>
      </c>
      <c r="M183">
        <f>IFERROR(Marketing_Data[[#This Row],[leads]]/Marketing_Data[[#This Row],[clicks]],0)</f>
        <v>2.4944430723635464E-2</v>
      </c>
      <c r="N183">
        <f>IFERROR(Marketing_Data[[#This Row],[clicks]]/Marketing_Data[[#This Row],[impressions]],0)</f>
        <v>4.859376322031793E-3</v>
      </c>
      <c r="O183">
        <f>IFERROR(Marketing_Data[[#This Row],[orders]]/Marketing_Data[[#This Row],[leads]],0)</f>
        <v>0.12046204620462046</v>
      </c>
      <c r="P183">
        <f>IFERROR(Marketing_Data[[#This Row],[revenue]]/Marketing_Data[[#This Row],[orders]],0)</f>
        <v>6802</v>
      </c>
      <c r="Q183">
        <f t="shared" si="16"/>
        <v>10.126903762245822</v>
      </c>
      <c r="R183">
        <f t="shared" si="17"/>
        <v>405.97854785478546</v>
      </c>
      <c r="S183">
        <f t="shared" si="18"/>
        <v>3370.178082191781</v>
      </c>
      <c r="T183">
        <f t="shared" si="19"/>
        <v>250523</v>
      </c>
      <c r="U183">
        <f t="shared" si="20"/>
        <v>1.0182909727952265</v>
      </c>
      <c r="V183">
        <v>496546</v>
      </c>
    </row>
    <row r="184" spans="1:22" x14ac:dyDescent="0.25">
      <c r="A184" s="2">
        <v>183</v>
      </c>
      <c r="B184" s="1">
        <v>44244</v>
      </c>
      <c r="C184" s="1" t="str">
        <f t="shared" si="14"/>
        <v>Weekday</v>
      </c>
      <c r="D184" t="s">
        <v>19</v>
      </c>
      <c r="E184" t="str">
        <f t="shared" si="15"/>
        <v>Tier 2</v>
      </c>
      <c r="F184" t="s">
        <v>12</v>
      </c>
      <c r="G184">
        <v>983498</v>
      </c>
      <c r="H184">
        <v>32964848</v>
      </c>
      <c r="I184">
        <v>162819</v>
      </c>
      <c r="J184">
        <v>45907</v>
      </c>
      <c r="K184">
        <v>974</v>
      </c>
      <c r="L184">
        <v>46</v>
      </c>
      <c r="M184">
        <f>IFERROR(Marketing_Data[[#This Row],[leads]]/Marketing_Data[[#This Row],[clicks]],0)</f>
        <v>2.1216807894220924E-2</v>
      </c>
      <c r="N184">
        <f>IFERROR(Marketing_Data[[#This Row],[clicks]]/Marketing_Data[[#This Row],[impressions]],0)</f>
        <v>1.3926046314546938E-3</v>
      </c>
      <c r="O184">
        <f>IFERROR(Marketing_Data[[#This Row],[orders]]/Marketing_Data[[#This Row],[leads]],0)</f>
        <v>4.7227926078028747E-2</v>
      </c>
      <c r="P184">
        <f>IFERROR(Marketing_Data[[#This Row],[revenue]]/Marketing_Data[[#This Row],[orders]],0)</f>
        <v>2650</v>
      </c>
      <c r="Q184">
        <f t="shared" si="16"/>
        <v>3.5467140087568345</v>
      </c>
      <c r="R184">
        <f t="shared" si="17"/>
        <v>167.16529774127309</v>
      </c>
      <c r="S184">
        <f t="shared" si="18"/>
        <v>3539.5434782608695</v>
      </c>
      <c r="T184">
        <f t="shared" si="19"/>
        <v>-40919</v>
      </c>
      <c r="U184">
        <f t="shared" si="20"/>
        <v>-0.25131587836800373</v>
      </c>
      <c r="V184">
        <v>121900</v>
      </c>
    </row>
    <row r="185" spans="1:22" x14ac:dyDescent="0.25">
      <c r="A185" s="2">
        <v>184</v>
      </c>
      <c r="B185" s="1">
        <v>44244</v>
      </c>
      <c r="C185" s="1" t="str">
        <f t="shared" si="14"/>
        <v>Weekday</v>
      </c>
      <c r="D185" t="s">
        <v>20</v>
      </c>
      <c r="E185" t="str">
        <f t="shared" si="15"/>
        <v>Other</v>
      </c>
      <c r="F185" t="s">
        <v>12</v>
      </c>
      <c r="G185">
        <v>4387490</v>
      </c>
      <c r="H185">
        <v>84332</v>
      </c>
      <c r="I185">
        <v>31422.5</v>
      </c>
      <c r="J185">
        <v>2698</v>
      </c>
      <c r="K185">
        <v>54</v>
      </c>
      <c r="L185">
        <v>11</v>
      </c>
      <c r="M185">
        <f>IFERROR(Marketing_Data[[#This Row],[leads]]/Marketing_Data[[#This Row],[clicks]],0)</f>
        <v>2.0014825796886581E-2</v>
      </c>
      <c r="N185">
        <f>IFERROR(Marketing_Data[[#This Row],[clicks]]/Marketing_Data[[#This Row],[impressions]],0)</f>
        <v>3.1992600673528437E-2</v>
      </c>
      <c r="O185">
        <f>IFERROR(Marketing_Data[[#This Row],[orders]]/Marketing_Data[[#This Row],[leads]],0)</f>
        <v>0.20370370370370369</v>
      </c>
      <c r="P185">
        <f>IFERROR(Marketing_Data[[#This Row],[revenue]]/Marketing_Data[[#This Row],[orders]],0)</f>
        <v>4131</v>
      </c>
      <c r="Q185">
        <f t="shared" si="16"/>
        <v>11.646590066716087</v>
      </c>
      <c r="R185">
        <f t="shared" si="17"/>
        <v>581.89814814814815</v>
      </c>
      <c r="S185">
        <f t="shared" si="18"/>
        <v>2856.590909090909</v>
      </c>
      <c r="T185">
        <f t="shared" si="19"/>
        <v>14018.5</v>
      </c>
      <c r="U185">
        <f t="shared" si="20"/>
        <v>0.44612936590023072</v>
      </c>
      <c r="V185">
        <v>45441</v>
      </c>
    </row>
    <row r="186" spans="1:22" x14ac:dyDescent="0.25">
      <c r="A186" s="2">
        <v>185</v>
      </c>
      <c r="B186" s="1">
        <v>44244</v>
      </c>
      <c r="C186" s="1" t="str">
        <f t="shared" si="14"/>
        <v>Weekday</v>
      </c>
      <c r="D186" t="s">
        <v>21</v>
      </c>
      <c r="E186" t="str">
        <f t="shared" si="15"/>
        <v>Other</v>
      </c>
      <c r="F186" t="s">
        <v>12</v>
      </c>
      <c r="G186">
        <v>544756</v>
      </c>
      <c r="H186">
        <v>1361187</v>
      </c>
      <c r="I186">
        <v>291254</v>
      </c>
      <c r="J186">
        <v>10810</v>
      </c>
      <c r="K186">
        <v>216</v>
      </c>
      <c r="L186">
        <v>32</v>
      </c>
      <c r="M186">
        <f>IFERROR(Marketing_Data[[#This Row],[leads]]/Marketing_Data[[#This Row],[clicks]],0)</f>
        <v>1.9981498612395929E-2</v>
      </c>
      <c r="N186">
        <f>IFERROR(Marketing_Data[[#This Row],[clicks]]/Marketing_Data[[#This Row],[impressions]],0)</f>
        <v>7.9415980317179054E-3</v>
      </c>
      <c r="O186">
        <f>IFERROR(Marketing_Data[[#This Row],[orders]]/Marketing_Data[[#This Row],[leads]],0)</f>
        <v>0.14814814814814814</v>
      </c>
      <c r="P186">
        <f>IFERROR(Marketing_Data[[#This Row],[revenue]]/Marketing_Data[[#This Row],[orders]],0)</f>
        <v>981</v>
      </c>
      <c r="Q186">
        <f t="shared" si="16"/>
        <v>26.943015726179464</v>
      </c>
      <c r="R186">
        <f t="shared" si="17"/>
        <v>1348.398148148148</v>
      </c>
      <c r="S186">
        <f t="shared" si="18"/>
        <v>9101.6875</v>
      </c>
      <c r="T186">
        <f t="shared" si="19"/>
        <v>-259862</v>
      </c>
      <c r="U186">
        <f t="shared" si="20"/>
        <v>-0.89221778928358064</v>
      </c>
      <c r="V186">
        <v>31392</v>
      </c>
    </row>
    <row r="187" spans="1:22" x14ac:dyDescent="0.25">
      <c r="A187" s="2">
        <v>186</v>
      </c>
      <c r="B187" s="1">
        <v>44244</v>
      </c>
      <c r="C187" s="1" t="str">
        <f t="shared" si="14"/>
        <v>Weekday</v>
      </c>
      <c r="D187" t="s">
        <v>22</v>
      </c>
      <c r="E187" t="str">
        <f t="shared" si="15"/>
        <v>Other</v>
      </c>
      <c r="F187" t="s">
        <v>17</v>
      </c>
      <c r="G187">
        <v>374754</v>
      </c>
      <c r="H187">
        <v>2795511</v>
      </c>
      <c r="I187">
        <v>462606</v>
      </c>
      <c r="J187">
        <v>26990</v>
      </c>
      <c r="K187">
        <v>795</v>
      </c>
      <c r="L187">
        <v>119</v>
      </c>
      <c r="M187">
        <f>IFERROR(Marketing_Data[[#This Row],[leads]]/Marketing_Data[[#This Row],[clicks]],0)</f>
        <v>2.9455353834753614E-2</v>
      </c>
      <c r="N187">
        <f>IFERROR(Marketing_Data[[#This Row],[clicks]]/Marketing_Data[[#This Row],[impressions]],0)</f>
        <v>9.6547643704496238E-3</v>
      </c>
      <c r="O187">
        <f>IFERROR(Marketing_Data[[#This Row],[orders]]/Marketing_Data[[#This Row],[leads]],0)</f>
        <v>0.14968553459119496</v>
      </c>
      <c r="P187">
        <f>IFERROR(Marketing_Data[[#This Row],[revenue]]/Marketing_Data[[#This Row],[orders]],0)</f>
        <v>4981</v>
      </c>
      <c r="Q187">
        <f t="shared" si="16"/>
        <v>17.139903668025195</v>
      </c>
      <c r="R187">
        <f t="shared" si="17"/>
        <v>581.8943396226415</v>
      </c>
      <c r="S187">
        <f t="shared" si="18"/>
        <v>3887.4453781512607</v>
      </c>
      <c r="T187">
        <f t="shared" si="19"/>
        <v>130133</v>
      </c>
      <c r="U187">
        <f t="shared" si="20"/>
        <v>0.28130417677245861</v>
      </c>
      <c r="V187">
        <v>592739</v>
      </c>
    </row>
    <row r="188" spans="1:22" x14ac:dyDescent="0.25">
      <c r="A188" s="2">
        <v>187</v>
      </c>
      <c r="B188" s="1">
        <v>44244</v>
      </c>
      <c r="C188" s="1" t="str">
        <f t="shared" si="14"/>
        <v>Weekday</v>
      </c>
      <c r="D188" t="s">
        <v>23</v>
      </c>
      <c r="E188" t="str">
        <f t="shared" si="15"/>
        <v>Other</v>
      </c>
      <c r="F188" t="s">
        <v>24</v>
      </c>
      <c r="G188">
        <v>39889</v>
      </c>
      <c r="H188">
        <v>16553044</v>
      </c>
      <c r="I188">
        <v>523398</v>
      </c>
      <c r="J188">
        <v>37805</v>
      </c>
      <c r="K188">
        <v>756</v>
      </c>
      <c r="L188">
        <v>142</v>
      </c>
      <c r="M188">
        <f>IFERROR(Marketing_Data[[#This Row],[leads]]/Marketing_Data[[#This Row],[clicks]],0)</f>
        <v>1.9997354847242427E-2</v>
      </c>
      <c r="N188">
        <f>IFERROR(Marketing_Data[[#This Row],[clicks]]/Marketing_Data[[#This Row],[impressions]],0)</f>
        <v>2.2838699637359751E-3</v>
      </c>
      <c r="O188">
        <f>IFERROR(Marketing_Data[[#This Row],[orders]]/Marketing_Data[[#This Row],[leads]],0)</f>
        <v>0.18783068783068782</v>
      </c>
      <c r="P188">
        <f>IFERROR(Marketing_Data[[#This Row],[revenue]]/Marketing_Data[[#This Row],[orders]],0)</f>
        <v>3981</v>
      </c>
      <c r="Q188">
        <f t="shared" si="16"/>
        <v>13.844676630075387</v>
      </c>
      <c r="R188">
        <f t="shared" si="17"/>
        <v>692.32539682539687</v>
      </c>
      <c r="S188">
        <f t="shared" si="18"/>
        <v>3685.9014084507044</v>
      </c>
      <c r="T188">
        <f t="shared" si="19"/>
        <v>41904</v>
      </c>
      <c r="U188">
        <f t="shared" si="20"/>
        <v>8.0061444636777362E-2</v>
      </c>
      <c r="V188">
        <v>565302</v>
      </c>
    </row>
    <row r="189" spans="1:22" x14ac:dyDescent="0.25">
      <c r="A189" s="2">
        <v>188</v>
      </c>
      <c r="B189" s="1">
        <v>44245</v>
      </c>
      <c r="C189" s="1" t="str">
        <f t="shared" si="14"/>
        <v>Weekday</v>
      </c>
      <c r="D189" t="s">
        <v>11</v>
      </c>
      <c r="E189" t="str">
        <f t="shared" si="15"/>
        <v>Tier 1</v>
      </c>
      <c r="F189" t="s">
        <v>12</v>
      </c>
      <c r="G189">
        <v>349043</v>
      </c>
      <c r="H189">
        <v>4798200</v>
      </c>
      <c r="I189">
        <v>30892.2</v>
      </c>
      <c r="J189">
        <v>23991</v>
      </c>
      <c r="K189">
        <v>61</v>
      </c>
      <c r="L189">
        <v>6</v>
      </c>
      <c r="M189">
        <f>IFERROR(Marketing_Data[[#This Row],[leads]]/Marketing_Data[[#This Row],[clicks]],0)</f>
        <v>2.5426201492226254E-3</v>
      </c>
      <c r="N189">
        <f>IFERROR(Marketing_Data[[#This Row],[clicks]]/Marketing_Data[[#This Row],[impressions]],0)</f>
        <v>5.0000000000000001E-3</v>
      </c>
      <c r="O189">
        <f>IFERROR(Marketing_Data[[#This Row],[orders]]/Marketing_Data[[#This Row],[leads]],0)</f>
        <v>9.8360655737704916E-2</v>
      </c>
      <c r="P189">
        <f>IFERROR(Marketing_Data[[#This Row],[revenue]]/Marketing_Data[[#This Row],[orders]],0)</f>
        <v>4281</v>
      </c>
      <c r="Q189">
        <f t="shared" si="16"/>
        <v>1.2876578717018883</v>
      </c>
      <c r="R189">
        <f t="shared" si="17"/>
        <v>506.42950819672132</v>
      </c>
      <c r="S189">
        <f t="shared" si="18"/>
        <v>5148.7</v>
      </c>
      <c r="T189">
        <f t="shared" si="19"/>
        <v>-5206.2000000000007</v>
      </c>
      <c r="U189">
        <f t="shared" si="20"/>
        <v>-0.16852797793617807</v>
      </c>
      <c r="V189">
        <v>25686</v>
      </c>
    </row>
    <row r="190" spans="1:22" x14ac:dyDescent="0.25">
      <c r="A190" s="2">
        <v>189</v>
      </c>
      <c r="B190" s="1">
        <v>44245</v>
      </c>
      <c r="C190" s="1" t="str">
        <f t="shared" si="14"/>
        <v>Weekday</v>
      </c>
      <c r="D190" t="s">
        <v>25</v>
      </c>
      <c r="E190" t="str">
        <f t="shared" si="15"/>
        <v>Tier 2</v>
      </c>
      <c r="F190" t="s">
        <v>12</v>
      </c>
      <c r="G190">
        <v>348934</v>
      </c>
      <c r="H190">
        <v>4678356</v>
      </c>
      <c r="I190">
        <v>373294</v>
      </c>
      <c r="J190">
        <v>33003</v>
      </c>
      <c r="K190">
        <v>1313</v>
      </c>
      <c r="L190">
        <v>51</v>
      </c>
      <c r="M190">
        <f>IFERROR(Marketing_Data[[#This Row],[leads]]/Marketing_Data[[#This Row],[clicks]],0)</f>
        <v>3.9784262036784535E-2</v>
      </c>
      <c r="N190">
        <f>IFERROR(Marketing_Data[[#This Row],[clicks]]/Marketing_Data[[#This Row],[impressions]],0)</f>
        <v>7.0544011614336322E-3</v>
      </c>
      <c r="O190">
        <f>IFERROR(Marketing_Data[[#This Row],[orders]]/Marketing_Data[[#This Row],[leads]],0)</f>
        <v>3.8842345773038842E-2</v>
      </c>
      <c r="P190">
        <f>IFERROR(Marketing_Data[[#This Row],[revenue]]/Marketing_Data[[#This Row],[orders]],0)</f>
        <v>4661</v>
      </c>
      <c r="Q190">
        <f t="shared" si="16"/>
        <v>11.310911129291277</v>
      </c>
      <c r="R190">
        <f t="shared" si="17"/>
        <v>284.30616907844632</v>
      </c>
      <c r="S190">
        <f t="shared" si="18"/>
        <v>7319.4901960784309</v>
      </c>
      <c r="T190">
        <f t="shared" si="19"/>
        <v>-135583</v>
      </c>
      <c r="U190">
        <f t="shared" si="20"/>
        <v>-0.36320701645351922</v>
      </c>
      <c r="V190">
        <v>237711</v>
      </c>
    </row>
    <row r="191" spans="1:22" x14ac:dyDescent="0.25">
      <c r="A191" s="2">
        <v>190</v>
      </c>
      <c r="B191" s="1">
        <v>44245</v>
      </c>
      <c r="C191" s="1" t="str">
        <f t="shared" si="14"/>
        <v>Weekday</v>
      </c>
      <c r="D191" t="s">
        <v>13</v>
      </c>
      <c r="E191" t="str">
        <f t="shared" si="15"/>
        <v>Other</v>
      </c>
      <c r="F191" t="s">
        <v>14</v>
      </c>
      <c r="G191">
        <v>89459845</v>
      </c>
      <c r="H191">
        <v>527210</v>
      </c>
      <c r="I191">
        <v>119542</v>
      </c>
      <c r="J191">
        <v>9004</v>
      </c>
      <c r="K191">
        <v>162</v>
      </c>
      <c r="L191">
        <v>28</v>
      </c>
      <c r="M191">
        <f>IFERROR(Marketing_Data[[#This Row],[leads]]/Marketing_Data[[#This Row],[clicks]],0)</f>
        <v>1.799200355397601E-2</v>
      </c>
      <c r="N191">
        <f>IFERROR(Marketing_Data[[#This Row],[clicks]]/Marketing_Data[[#This Row],[impressions]],0)</f>
        <v>1.7078583486656172E-2</v>
      </c>
      <c r="O191">
        <f>IFERROR(Marketing_Data[[#This Row],[orders]]/Marketing_Data[[#This Row],[leads]],0)</f>
        <v>0.1728395061728395</v>
      </c>
      <c r="P191">
        <f>IFERROR(Marketing_Data[[#This Row],[revenue]]/Marketing_Data[[#This Row],[orders]],0)</f>
        <v>7656</v>
      </c>
      <c r="Q191">
        <f t="shared" si="16"/>
        <v>13.27654375832963</v>
      </c>
      <c r="R191">
        <f t="shared" si="17"/>
        <v>737.91358024691363</v>
      </c>
      <c r="S191">
        <f t="shared" si="18"/>
        <v>4269.3571428571431</v>
      </c>
      <c r="T191">
        <f t="shared" si="19"/>
        <v>94826</v>
      </c>
      <c r="U191">
        <f t="shared" si="20"/>
        <v>0.7932442154221947</v>
      </c>
      <c r="V191">
        <v>214368</v>
      </c>
    </row>
    <row r="192" spans="1:22" x14ac:dyDescent="0.25">
      <c r="A192" s="2">
        <v>191</v>
      </c>
      <c r="B192" s="1">
        <v>44245</v>
      </c>
      <c r="C192" s="1" t="str">
        <f t="shared" si="14"/>
        <v>Weekday</v>
      </c>
      <c r="D192" t="s">
        <v>15</v>
      </c>
      <c r="E192" t="str">
        <f t="shared" si="15"/>
        <v>Other</v>
      </c>
      <c r="F192" t="s">
        <v>14</v>
      </c>
      <c r="G192">
        <v>127823</v>
      </c>
      <c r="H192">
        <v>10593685</v>
      </c>
      <c r="I192">
        <v>200986</v>
      </c>
      <c r="J192">
        <v>24005</v>
      </c>
      <c r="K192">
        <v>480</v>
      </c>
      <c r="L192">
        <v>43</v>
      </c>
      <c r="M192">
        <f>IFERROR(Marketing_Data[[#This Row],[leads]]/Marketing_Data[[#This Row],[clicks]],0)</f>
        <v>1.9995834201208082E-2</v>
      </c>
      <c r="N192">
        <f>IFERROR(Marketing_Data[[#This Row],[clicks]]/Marketing_Data[[#This Row],[impressions]],0)</f>
        <v>2.2659726053776376E-3</v>
      </c>
      <c r="O192">
        <f>IFERROR(Marketing_Data[[#This Row],[orders]]/Marketing_Data[[#This Row],[leads]],0)</f>
        <v>8.9583333333333334E-2</v>
      </c>
      <c r="P192">
        <f>IFERROR(Marketing_Data[[#This Row],[revenue]]/Marketing_Data[[#This Row],[orders]],0)</f>
        <v>2171</v>
      </c>
      <c r="Q192">
        <f t="shared" si="16"/>
        <v>8.3726723599250157</v>
      </c>
      <c r="R192">
        <f t="shared" si="17"/>
        <v>418.72083333333336</v>
      </c>
      <c r="S192">
        <f t="shared" si="18"/>
        <v>4674.0930232558139</v>
      </c>
      <c r="T192">
        <f t="shared" si="19"/>
        <v>-107633</v>
      </c>
      <c r="U192">
        <f t="shared" si="20"/>
        <v>-0.53552486242822883</v>
      </c>
      <c r="V192">
        <v>93353</v>
      </c>
    </row>
    <row r="193" spans="1:22" x14ac:dyDescent="0.25">
      <c r="A193" s="2">
        <v>192</v>
      </c>
      <c r="B193" s="1">
        <v>44245</v>
      </c>
      <c r="C193" s="1" t="str">
        <f t="shared" si="14"/>
        <v>Weekday</v>
      </c>
      <c r="D193" t="s">
        <v>16</v>
      </c>
      <c r="E193" t="str">
        <f t="shared" si="15"/>
        <v>Other</v>
      </c>
      <c r="F193" t="s">
        <v>17</v>
      </c>
      <c r="G193">
        <v>10934</v>
      </c>
      <c r="H193">
        <v>4064081</v>
      </c>
      <c r="I193">
        <v>86522.9</v>
      </c>
      <c r="J193">
        <v>45004</v>
      </c>
      <c r="K193">
        <v>144</v>
      </c>
      <c r="L193">
        <v>31</v>
      </c>
      <c r="M193">
        <f>IFERROR(Marketing_Data[[#This Row],[leads]]/Marketing_Data[[#This Row],[clicks]],0)</f>
        <v>3.199715580837259E-3</v>
      </c>
      <c r="N193">
        <f>IFERROR(Marketing_Data[[#This Row],[clicks]]/Marketing_Data[[#This Row],[impressions]],0)</f>
        <v>1.1073598188618781E-2</v>
      </c>
      <c r="O193">
        <f>IFERROR(Marketing_Data[[#This Row],[orders]]/Marketing_Data[[#This Row],[leads]],0)</f>
        <v>0.21527777777777779</v>
      </c>
      <c r="P193">
        <f>IFERROR(Marketing_Data[[#This Row],[revenue]]/Marketing_Data[[#This Row],[orders]],0)</f>
        <v>8287</v>
      </c>
      <c r="Q193">
        <f t="shared" si="16"/>
        <v>1.9225602168696114</v>
      </c>
      <c r="R193">
        <f t="shared" si="17"/>
        <v>600.85347222222219</v>
      </c>
      <c r="S193">
        <f t="shared" si="18"/>
        <v>2791.0612903225806</v>
      </c>
      <c r="T193">
        <f t="shared" si="19"/>
        <v>170374.1</v>
      </c>
      <c r="U193">
        <f t="shared" si="20"/>
        <v>1.9691214695762627</v>
      </c>
      <c r="V193">
        <v>256897</v>
      </c>
    </row>
    <row r="194" spans="1:22" x14ac:dyDescent="0.25">
      <c r="A194" s="2">
        <v>193</v>
      </c>
      <c r="B194" s="1">
        <v>44245</v>
      </c>
      <c r="C194" s="1" t="str">
        <f t="shared" ref="C194:C257" si="21">IF(WEEKDAY(B194,2)&gt;5,"Weekend","Weekday")</f>
        <v>Weekday</v>
      </c>
      <c r="D194" t="s">
        <v>18</v>
      </c>
      <c r="E194" t="str">
        <f t="shared" ref="E194:E257" si="22">IF(ISNUMBER(SEARCH("tier1",D194)),"Tier 1",IF(ISNUMBER(SEARCH("tier2",D194)),"Tier 2","Other"))</f>
        <v>Tier 1</v>
      </c>
      <c r="F194" t="s">
        <v>12</v>
      </c>
      <c r="G194">
        <v>9034945</v>
      </c>
      <c r="H194">
        <v>11212959</v>
      </c>
      <c r="I194">
        <v>241388</v>
      </c>
      <c r="J194">
        <v>27009</v>
      </c>
      <c r="K194">
        <v>599</v>
      </c>
      <c r="L194">
        <v>72</v>
      </c>
      <c r="M194">
        <f>IFERROR(Marketing_Data[[#This Row],[leads]]/Marketing_Data[[#This Row],[clicks]],0)</f>
        <v>2.2177792587655967E-2</v>
      </c>
      <c r="N194">
        <f>IFERROR(Marketing_Data[[#This Row],[clicks]]/Marketing_Data[[#This Row],[impressions]],0)</f>
        <v>2.4087308265374019E-3</v>
      </c>
      <c r="O194">
        <f>IFERROR(Marketing_Data[[#This Row],[orders]]/Marketing_Data[[#This Row],[leads]],0)</f>
        <v>0.12020033388981637</v>
      </c>
      <c r="P194">
        <f>IFERROR(Marketing_Data[[#This Row],[revenue]]/Marketing_Data[[#This Row],[orders]],0)</f>
        <v>5981</v>
      </c>
      <c r="Q194">
        <f t="shared" ref="Q194:Q257" si="23">IFERROR(I194/J194,0)</f>
        <v>8.9373171905661071</v>
      </c>
      <c r="R194">
        <f t="shared" ref="R194:R257" si="24">IFERROR(I194/K194,0)</f>
        <v>402.98497495826376</v>
      </c>
      <c r="S194">
        <f t="shared" ref="S194:S257" si="25">IFERROR(I194/L194,0)</f>
        <v>3352.6111111111113</v>
      </c>
      <c r="T194">
        <f t="shared" ref="T194:T257" si="26">V194-I194</f>
        <v>189244</v>
      </c>
      <c r="U194">
        <f t="shared" ref="U194:U257" si="27">IFERROR((V194-I194)/I194,0)</f>
        <v>0.78398263376804145</v>
      </c>
      <c r="V194">
        <v>430632</v>
      </c>
    </row>
    <row r="195" spans="1:22" x14ac:dyDescent="0.25">
      <c r="A195" s="2">
        <v>194</v>
      </c>
      <c r="B195" s="1">
        <v>44245</v>
      </c>
      <c r="C195" s="1" t="str">
        <f t="shared" si="21"/>
        <v>Weekday</v>
      </c>
      <c r="D195" t="s">
        <v>19</v>
      </c>
      <c r="E195" t="str">
        <f t="shared" si="22"/>
        <v>Tier 2</v>
      </c>
      <c r="F195" t="s">
        <v>12</v>
      </c>
      <c r="G195">
        <v>983498</v>
      </c>
      <c r="H195">
        <v>13281923</v>
      </c>
      <c r="I195">
        <v>58596.4</v>
      </c>
      <c r="J195">
        <v>51000</v>
      </c>
      <c r="K195">
        <v>1020</v>
      </c>
      <c r="L195">
        <v>16</v>
      </c>
      <c r="M195">
        <f>IFERROR(Marketing_Data[[#This Row],[leads]]/Marketing_Data[[#This Row],[clicks]],0)</f>
        <v>0.02</v>
      </c>
      <c r="N195">
        <f>IFERROR(Marketing_Data[[#This Row],[clicks]]/Marketing_Data[[#This Row],[impressions]],0)</f>
        <v>3.8398054257655313E-3</v>
      </c>
      <c r="O195">
        <f>IFERROR(Marketing_Data[[#This Row],[orders]]/Marketing_Data[[#This Row],[leads]],0)</f>
        <v>1.5686274509803921E-2</v>
      </c>
      <c r="P195">
        <f>IFERROR(Marketing_Data[[#This Row],[revenue]]/Marketing_Data[[#This Row],[orders]],0)</f>
        <v>2251</v>
      </c>
      <c r="Q195">
        <f t="shared" si="23"/>
        <v>1.1489490196078431</v>
      </c>
      <c r="R195">
        <f t="shared" si="24"/>
        <v>57.447450980392155</v>
      </c>
      <c r="S195">
        <f t="shared" si="25"/>
        <v>3662.2750000000001</v>
      </c>
      <c r="T195">
        <f t="shared" si="26"/>
        <v>-22580.400000000001</v>
      </c>
      <c r="U195">
        <f t="shared" si="27"/>
        <v>-0.38535473169000145</v>
      </c>
      <c r="V195">
        <v>36016</v>
      </c>
    </row>
    <row r="196" spans="1:22" x14ac:dyDescent="0.25">
      <c r="A196" s="2">
        <v>195</v>
      </c>
      <c r="B196" s="1">
        <v>44245</v>
      </c>
      <c r="C196" s="1" t="str">
        <f t="shared" si="21"/>
        <v>Weekday</v>
      </c>
      <c r="D196" t="s">
        <v>20</v>
      </c>
      <c r="E196" t="str">
        <f t="shared" si="22"/>
        <v>Other</v>
      </c>
      <c r="F196" t="s">
        <v>12</v>
      </c>
      <c r="G196">
        <v>4387490</v>
      </c>
      <c r="H196">
        <v>97885</v>
      </c>
      <c r="I196">
        <v>17176.7</v>
      </c>
      <c r="J196">
        <v>2991</v>
      </c>
      <c r="K196">
        <v>28</v>
      </c>
      <c r="L196">
        <v>6</v>
      </c>
      <c r="M196">
        <f>IFERROR(Marketing_Data[[#This Row],[leads]]/Marketing_Data[[#This Row],[clicks]],0)</f>
        <v>9.3614175860916079E-3</v>
      </c>
      <c r="N196">
        <f>IFERROR(Marketing_Data[[#This Row],[clicks]]/Marketing_Data[[#This Row],[impressions]],0)</f>
        <v>3.0556265004852635E-2</v>
      </c>
      <c r="O196">
        <f>IFERROR(Marketing_Data[[#This Row],[orders]]/Marketing_Data[[#This Row],[leads]],0)</f>
        <v>0.21428571428571427</v>
      </c>
      <c r="P196">
        <f>IFERROR(Marketing_Data[[#This Row],[revenue]]/Marketing_Data[[#This Row],[orders]],0)</f>
        <v>5655</v>
      </c>
      <c r="Q196">
        <f t="shared" si="23"/>
        <v>5.7427950518221333</v>
      </c>
      <c r="R196">
        <f t="shared" si="24"/>
        <v>613.45357142857142</v>
      </c>
      <c r="S196">
        <f t="shared" si="25"/>
        <v>2862.7833333333333</v>
      </c>
      <c r="T196">
        <f t="shared" si="26"/>
        <v>16753.3</v>
      </c>
      <c r="U196">
        <f t="shared" si="27"/>
        <v>0.97535032922505482</v>
      </c>
      <c r="V196">
        <v>33930</v>
      </c>
    </row>
    <row r="197" spans="1:22" x14ac:dyDescent="0.25">
      <c r="A197" s="2">
        <v>196</v>
      </c>
      <c r="B197" s="1">
        <v>44245</v>
      </c>
      <c r="C197" s="1" t="str">
        <f t="shared" si="21"/>
        <v>Weekday</v>
      </c>
      <c r="D197" t="s">
        <v>21</v>
      </c>
      <c r="E197" t="str">
        <f t="shared" si="22"/>
        <v>Other</v>
      </c>
      <c r="F197" t="s">
        <v>12</v>
      </c>
      <c r="G197">
        <v>544756</v>
      </c>
      <c r="H197">
        <v>1181224</v>
      </c>
      <c r="I197">
        <v>171831</v>
      </c>
      <c r="J197">
        <v>11991</v>
      </c>
      <c r="K197">
        <v>128</v>
      </c>
      <c r="L197">
        <v>19</v>
      </c>
      <c r="M197">
        <f>IFERROR(Marketing_Data[[#This Row],[leads]]/Marketing_Data[[#This Row],[clicks]],0)</f>
        <v>1.0674672671170045E-2</v>
      </c>
      <c r="N197">
        <f>IFERROR(Marketing_Data[[#This Row],[clicks]]/Marketing_Data[[#This Row],[impressions]],0)</f>
        <v>1.0151334547892694E-2</v>
      </c>
      <c r="O197">
        <f>IFERROR(Marketing_Data[[#This Row],[orders]]/Marketing_Data[[#This Row],[leads]],0)</f>
        <v>0.1484375</v>
      </c>
      <c r="P197">
        <f>IFERROR(Marketing_Data[[#This Row],[revenue]]/Marketing_Data[[#This Row],[orders]],0)</f>
        <v>943</v>
      </c>
      <c r="Q197">
        <f t="shared" si="23"/>
        <v>14.329997498123593</v>
      </c>
      <c r="R197">
        <f t="shared" si="24"/>
        <v>1342.4296875</v>
      </c>
      <c r="S197">
        <f t="shared" si="25"/>
        <v>9043.7368421052633</v>
      </c>
      <c r="T197">
        <f t="shared" si="26"/>
        <v>-153914</v>
      </c>
      <c r="U197">
        <f t="shared" si="27"/>
        <v>-0.89572894297303751</v>
      </c>
      <c r="V197">
        <v>17917</v>
      </c>
    </row>
    <row r="198" spans="1:22" x14ac:dyDescent="0.25">
      <c r="A198" s="2">
        <v>197</v>
      </c>
      <c r="B198" s="1">
        <v>44245</v>
      </c>
      <c r="C198" s="1" t="str">
        <f t="shared" si="21"/>
        <v>Weekday</v>
      </c>
      <c r="D198" t="s">
        <v>22</v>
      </c>
      <c r="E198" t="str">
        <f t="shared" si="22"/>
        <v>Other</v>
      </c>
      <c r="F198" t="s">
        <v>17</v>
      </c>
      <c r="G198">
        <v>374754</v>
      </c>
      <c r="H198">
        <v>2482796</v>
      </c>
      <c r="I198">
        <v>518530</v>
      </c>
      <c r="J198">
        <v>30000</v>
      </c>
      <c r="K198">
        <v>1032</v>
      </c>
      <c r="L198">
        <v>134</v>
      </c>
      <c r="M198">
        <f>IFERROR(Marketing_Data[[#This Row],[leads]]/Marketing_Data[[#This Row],[clicks]],0)</f>
        <v>3.44E-2</v>
      </c>
      <c r="N198">
        <f>IFERROR(Marketing_Data[[#This Row],[clicks]]/Marketing_Data[[#This Row],[impressions]],0)</f>
        <v>1.2083151414775922E-2</v>
      </c>
      <c r="O198">
        <f>IFERROR(Marketing_Data[[#This Row],[orders]]/Marketing_Data[[#This Row],[leads]],0)</f>
        <v>0.12984496124031009</v>
      </c>
      <c r="P198">
        <f>IFERROR(Marketing_Data[[#This Row],[revenue]]/Marketing_Data[[#This Row],[orders]],0)</f>
        <v>5945</v>
      </c>
      <c r="Q198">
        <f t="shared" si="23"/>
        <v>17.284333333333333</v>
      </c>
      <c r="R198">
        <f t="shared" si="24"/>
        <v>502.45155038759691</v>
      </c>
      <c r="S198">
        <f t="shared" si="25"/>
        <v>3869.626865671642</v>
      </c>
      <c r="T198">
        <f t="shared" si="26"/>
        <v>278100</v>
      </c>
      <c r="U198">
        <f t="shared" si="27"/>
        <v>0.53632383854357513</v>
      </c>
      <c r="V198">
        <v>796630</v>
      </c>
    </row>
    <row r="199" spans="1:22" x14ac:dyDescent="0.25">
      <c r="A199" s="2">
        <v>198</v>
      </c>
      <c r="B199" s="1">
        <v>44245</v>
      </c>
      <c r="C199" s="1" t="str">
        <f t="shared" si="21"/>
        <v>Weekday</v>
      </c>
      <c r="D199" t="s">
        <v>23</v>
      </c>
      <c r="E199" t="str">
        <f t="shared" si="22"/>
        <v>Other</v>
      </c>
      <c r="F199" t="s">
        <v>24</v>
      </c>
      <c r="G199">
        <v>39889</v>
      </c>
      <c r="H199">
        <v>419970000</v>
      </c>
      <c r="I199">
        <v>339735</v>
      </c>
      <c r="J199">
        <v>41997</v>
      </c>
      <c r="K199">
        <v>840</v>
      </c>
      <c r="L199">
        <v>114</v>
      </c>
      <c r="M199">
        <f>IFERROR(Marketing_Data[[#This Row],[leads]]/Marketing_Data[[#This Row],[clicks]],0)</f>
        <v>2.0001428673476675E-2</v>
      </c>
      <c r="N199">
        <f>IFERROR(Marketing_Data[[#This Row],[clicks]]/Marketing_Data[[#This Row],[impressions]],0)</f>
        <v>1E-4</v>
      </c>
      <c r="O199">
        <f>IFERROR(Marketing_Data[[#This Row],[orders]]/Marketing_Data[[#This Row],[leads]],0)</f>
        <v>0.1357142857142857</v>
      </c>
      <c r="P199">
        <f>IFERROR(Marketing_Data[[#This Row],[revenue]]/Marketing_Data[[#This Row],[orders]],0)</f>
        <v>4530</v>
      </c>
      <c r="Q199">
        <f t="shared" si="23"/>
        <v>8.0895063933138083</v>
      </c>
      <c r="R199">
        <f t="shared" si="24"/>
        <v>404.44642857142856</v>
      </c>
      <c r="S199">
        <f t="shared" si="25"/>
        <v>2980.1315789473683</v>
      </c>
      <c r="T199">
        <f t="shared" si="26"/>
        <v>176685</v>
      </c>
      <c r="U199">
        <f t="shared" si="27"/>
        <v>0.52006711113073423</v>
      </c>
      <c r="V199">
        <v>516420</v>
      </c>
    </row>
    <row r="200" spans="1:22" x14ac:dyDescent="0.25">
      <c r="A200" s="2">
        <v>199</v>
      </c>
      <c r="B200" s="1">
        <v>44246</v>
      </c>
      <c r="C200" s="1" t="str">
        <f t="shared" si="21"/>
        <v>Weekday</v>
      </c>
      <c r="D200" t="s">
        <v>11</v>
      </c>
      <c r="E200" t="str">
        <f t="shared" si="22"/>
        <v>Tier 1</v>
      </c>
      <c r="F200" t="s">
        <v>12</v>
      </c>
      <c r="G200">
        <v>349043</v>
      </c>
      <c r="H200">
        <v>15345139</v>
      </c>
      <c r="I200">
        <v>53253.9</v>
      </c>
      <c r="J200">
        <v>26407</v>
      </c>
      <c r="K200">
        <v>71</v>
      </c>
      <c r="L200">
        <v>10</v>
      </c>
      <c r="M200">
        <f>IFERROR(Marketing_Data[[#This Row],[leads]]/Marketing_Data[[#This Row],[clicks]],0)</f>
        <v>2.6886810315446662E-3</v>
      </c>
      <c r="N200">
        <f>IFERROR(Marketing_Data[[#This Row],[clicks]]/Marketing_Data[[#This Row],[impressions]],0)</f>
        <v>1.7208706939702534E-3</v>
      </c>
      <c r="O200">
        <f>IFERROR(Marketing_Data[[#This Row],[orders]]/Marketing_Data[[#This Row],[leads]],0)</f>
        <v>0.14084507042253522</v>
      </c>
      <c r="P200">
        <f>IFERROR(Marketing_Data[[#This Row],[revenue]]/Marketing_Data[[#This Row],[orders]],0)</f>
        <v>4455</v>
      </c>
      <c r="Q200">
        <f t="shared" si="23"/>
        <v>2.0166584617715002</v>
      </c>
      <c r="R200">
        <f t="shared" si="24"/>
        <v>750.0549295774648</v>
      </c>
      <c r="S200">
        <f t="shared" si="25"/>
        <v>5325.39</v>
      </c>
      <c r="T200">
        <f t="shared" si="26"/>
        <v>-8703.9000000000015</v>
      </c>
      <c r="U200">
        <f t="shared" si="27"/>
        <v>-0.16344155075966268</v>
      </c>
      <c r="V200">
        <v>44550</v>
      </c>
    </row>
    <row r="201" spans="1:22" x14ac:dyDescent="0.25">
      <c r="A201" s="2">
        <v>200</v>
      </c>
      <c r="B201" s="1">
        <v>44246</v>
      </c>
      <c r="C201" s="1" t="str">
        <f t="shared" si="21"/>
        <v>Weekday</v>
      </c>
      <c r="D201" t="s">
        <v>25</v>
      </c>
      <c r="E201" t="str">
        <f t="shared" si="22"/>
        <v>Tier 2</v>
      </c>
      <c r="F201" t="s">
        <v>12</v>
      </c>
      <c r="G201">
        <v>348934</v>
      </c>
      <c r="H201">
        <v>7260800</v>
      </c>
      <c r="I201">
        <v>415376</v>
      </c>
      <c r="J201">
        <v>36304</v>
      </c>
      <c r="K201">
        <v>726</v>
      </c>
      <c r="L201">
        <v>58</v>
      </c>
      <c r="M201">
        <f>IFERROR(Marketing_Data[[#This Row],[leads]]/Marketing_Data[[#This Row],[clicks]],0)</f>
        <v>1.9997796386073161E-2</v>
      </c>
      <c r="N201">
        <f>IFERROR(Marketing_Data[[#This Row],[clicks]]/Marketing_Data[[#This Row],[impressions]],0)</f>
        <v>5.0000000000000001E-3</v>
      </c>
      <c r="O201">
        <f>IFERROR(Marketing_Data[[#This Row],[orders]]/Marketing_Data[[#This Row],[leads]],0)</f>
        <v>7.9889807162534437E-2</v>
      </c>
      <c r="P201">
        <f>IFERROR(Marketing_Data[[#This Row],[revenue]]/Marketing_Data[[#This Row],[orders]],0)</f>
        <v>4981</v>
      </c>
      <c r="Q201">
        <f t="shared" si="23"/>
        <v>11.44160423093874</v>
      </c>
      <c r="R201">
        <f t="shared" si="24"/>
        <v>572.14325068870528</v>
      </c>
      <c r="S201">
        <f t="shared" si="25"/>
        <v>7161.6551724137935</v>
      </c>
      <c r="T201">
        <f t="shared" si="26"/>
        <v>-126478</v>
      </c>
      <c r="U201">
        <f t="shared" si="27"/>
        <v>-0.30449038943029927</v>
      </c>
      <c r="V201">
        <v>288898</v>
      </c>
    </row>
    <row r="202" spans="1:22" x14ac:dyDescent="0.25">
      <c r="A202" s="2">
        <v>201</v>
      </c>
      <c r="B202" s="1">
        <v>44246</v>
      </c>
      <c r="C202" s="1" t="str">
        <f t="shared" si="21"/>
        <v>Weekday</v>
      </c>
      <c r="D202" t="s">
        <v>13</v>
      </c>
      <c r="E202" t="str">
        <f t="shared" si="22"/>
        <v>Other</v>
      </c>
      <c r="F202" t="s">
        <v>14</v>
      </c>
      <c r="G202">
        <v>89459845</v>
      </c>
      <c r="H202">
        <v>413291</v>
      </c>
      <c r="I202">
        <v>9777.5499999999993</v>
      </c>
      <c r="J202">
        <v>9904</v>
      </c>
      <c r="K202">
        <v>14</v>
      </c>
      <c r="L202">
        <v>2</v>
      </c>
      <c r="M202">
        <f>IFERROR(Marketing_Data[[#This Row],[leads]]/Marketing_Data[[#This Row],[clicks]],0)</f>
        <v>1.4135702746365104E-3</v>
      </c>
      <c r="N202">
        <f>IFERROR(Marketing_Data[[#This Row],[clicks]]/Marketing_Data[[#This Row],[impressions]],0)</f>
        <v>2.3963744673849659E-2</v>
      </c>
      <c r="O202">
        <f>IFERROR(Marketing_Data[[#This Row],[orders]]/Marketing_Data[[#This Row],[leads]],0)</f>
        <v>0.14285714285714285</v>
      </c>
      <c r="P202">
        <f>IFERROR(Marketing_Data[[#This Row],[revenue]]/Marketing_Data[[#This Row],[orders]],0)</f>
        <v>7981</v>
      </c>
      <c r="Q202">
        <f t="shared" si="23"/>
        <v>0.98723243134087235</v>
      </c>
      <c r="R202">
        <f t="shared" si="24"/>
        <v>698.39642857142849</v>
      </c>
      <c r="S202">
        <f t="shared" si="25"/>
        <v>4888.7749999999996</v>
      </c>
      <c r="T202">
        <f t="shared" si="26"/>
        <v>6184.4500000000007</v>
      </c>
      <c r="U202">
        <f t="shared" si="27"/>
        <v>0.6325153029133066</v>
      </c>
      <c r="V202">
        <v>15962</v>
      </c>
    </row>
    <row r="203" spans="1:22" x14ac:dyDescent="0.25">
      <c r="A203" s="2">
        <v>202</v>
      </c>
      <c r="B203" s="1">
        <v>44246</v>
      </c>
      <c r="C203" s="1" t="str">
        <f t="shared" si="21"/>
        <v>Weekday</v>
      </c>
      <c r="D203" t="s">
        <v>15</v>
      </c>
      <c r="E203" t="str">
        <f t="shared" si="22"/>
        <v>Other</v>
      </c>
      <c r="F203" t="s">
        <v>14</v>
      </c>
      <c r="G203">
        <v>127823</v>
      </c>
      <c r="H203">
        <v>8455475</v>
      </c>
      <c r="I203">
        <v>81623.5</v>
      </c>
      <c r="J203">
        <v>26406</v>
      </c>
      <c r="K203">
        <v>281</v>
      </c>
      <c r="L203">
        <v>20</v>
      </c>
      <c r="M203">
        <f>IFERROR(Marketing_Data[[#This Row],[leads]]/Marketing_Data[[#This Row],[clicks]],0)</f>
        <v>1.0641520866469741E-2</v>
      </c>
      <c r="N203">
        <f>IFERROR(Marketing_Data[[#This Row],[clicks]]/Marketing_Data[[#This Row],[impressions]],0)</f>
        <v>3.122946966314725E-3</v>
      </c>
      <c r="O203">
        <f>IFERROR(Marketing_Data[[#This Row],[orders]]/Marketing_Data[[#This Row],[leads]],0)</f>
        <v>7.1174377224199295E-2</v>
      </c>
      <c r="P203">
        <f>IFERROR(Marketing_Data[[#This Row],[revenue]]/Marketing_Data[[#This Row],[orders]],0)</f>
        <v>3615</v>
      </c>
      <c r="Q203">
        <f t="shared" si="23"/>
        <v>3.0910967204423239</v>
      </c>
      <c r="R203">
        <f t="shared" si="24"/>
        <v>290.47508896797154</v>
      </c>
      <c r="S203">
        <f t="shared" si="25"/>
        <v>4081.1750000000002</v>
      </c>
      <c r="T203">
        <f t="shared" si="26"/>
        <v>-9323.5</v>
      </c>
      <c r="U203">
        <f t="shared" si="27"/>
        <v>-0.11422568255465644</v>
      </c>
      <c r="V203">
        <v>72300</v>
      </c>
    </row>
    <row r="204" spans="1:22" x14ac:dyDescent="0.25">
      <c r="A204" s="2">
        <v>203</v>
      </c>
      <c r="B204" s="1">
        <v>44246</v>
      </c>
      <c r="C204" s="1" t="str">
        <f t="shared" si="21"/>
        <v>Weekday</v>
      </c>
      <c r="D204" t="s">
        <v>16</v>
      </c>
      <c r="E204" t="str">
        <f t="shared" si="22"/>
        <v>Other</v>
      </c>
      <c r="F204" t="s">
        <v>17</v>
      </c>
      <c r="G204">
        <v>10934</v>
      </c>
      <c r="H204">
        <v>3801165</v>
      </c>
      <c r="I204">
        <v>880357</v>
      </c>
      <c r="J204">
        <v>49510</v>
      </c>
      <c r="K204">
        <v>1666</v>
      </c>
      <c r="L204">
        <v>369</v>
      </c>
      <c r="M204">
        <f>IFERROR(Marketing_Data[[#This Row],[leads]]/Marketing_Data[[#This Row],[clicks]],0)</f>
        <v>3.3649767723692187E-2</v>
      </c>
      <c r="N204">
        <f>IFERROR(Marketing_Data[[#This Row],[clicks]]/Marketing_Data[[#This Row],[impressions]],0)</f>
        <v>1.3024954191675446E-2</v>
      </c>
      <c r="O204">
        <f>IFERROR(Marketing_Data[[#This Row],[orders]]/Marketing_Data[[#This Row],[leads]],0)</f>
        <v>0.22148859543817526</v>
      </c>
      <c r="P204">
        <f>IFERROR(Marketing_Data[[#This Row],[revenue]]/Marketing_Data[[#This Row],[orders]],0)</f>
        <v>7622.0054200542008</v>
      </c>
      <c r="Q204">
        <f t="shared" si="23"/>
        <v>17.781397697434862</v>
      </c>
      <c r="R204">
        <f t="shared" si="24"/>
        <v>528.42557022809126</v>
      </c>
      <c r="S204">
        <f t="shared" si="25"/>
        <v>2385.791327913279</v>
      </c>
      <c r="T204">
        <f t="shared" si="26"/>
        <v>1932163</v>
      </c>
      <c r="U204">
        <f t="shared" si="27"/>
        <v>2.1947494027990917</v>
      </c>
      <c r="V204">
        <v>2812520</v>
      </c>
    </row>
    <row r="205" spans="1:22" x14ac:dyDescent="0.25">
      <c r="A205" s="2">
        <v>204</v>
      </c>
      <c r="B205" s="1">
        <v>44246</v>
      </c>
      <c r="C205" s="1" t="str">
        <f t="shared" si="21"/>
        <v>Weekday</v>
      </c>
      <c r="D205" t="s">
        <v>18</v>
      </c>
      <c r="E205" t="str">
        <f t="shared" si="22"/>
        <v>Tier 1</v>
      </c>
      <c r="F205" t="s">
        <v>12</v>
      </c>
      <c r="G205">
        <v>9034945</v>
      </c>
      <c r="H205">
        <v>6168252</v>
      </c>
      <c r="I205">
        <v>300775</v>
      </c>
      <c r="J205">
        <v>29699</v>
      </c>
      <c r="K205">
        <v>1082</v>
      </c>
      <c r="L205">
        <v>96</v>
      </c>
      <c r="M205">
        <f>IFERROR(Marketing_Data[[#This Row],[leads]]/Marketing_Data[[#This Row],[clicks]],0)</f>
        <v>3.6432203104481635E-2</v>
      </c>
      <c r="N205">
        <f>IFERROR(Marketing_Data[[#This Row],[clicks]]/Marketing_Data[[#This Row],[impressions]],0)</f>
        <v>4.8148162558857843E-3</v>
      </c>
      <c r="O205">
        <f>IFERROR(Marketing_Data[[#This Row],[orders]]/Marketing_Data[[#This Row],[leads]],0)</f>
        <v>8.8724584103512014E-2</v>
      </c>
      <c r="P205">
        <f>IFERROR(Marketing_Data[[#This Row],[revenue]]/Marketing_Data[[#This Row],[orders]],0)</f>
        <v>5981</v>
      </c>
      <c r="Q205">
        <f t="shared" si="23"/>
        <v>10.127445368530926</v>
      </c>
      <c r="R205">
        <f t="shared" si="24"/>
        <v>277.98059149722735</v>
      </c>
      <c r="S205">
        <f t="shared" si="25"/>
        <v>3133.0729166666665</v>
      </c>
      <c r="T205">
        <f t="shared" si="26"/>
        <v>273401</v>
      </c>
      <c r="U205">
        <f t="shared" si="27"/>
        <v>0.90898844651317434</v>
      </c>
      <c r="V205">
        <v>574176</v>
      </c>
    </row>
    <row r="206" spans="1:22" x14ac:dyDescent="0.25">
      <c r="A206" s="2">
        <v>205</v>
      </c>
      <c r="B206" s="1">
        <v>44246</v>
      </c>
      <c r="C206" s="1" t="str">
        <f t="shared" si="21"/>
        <v>Weekday</v>
      </c>
      <c r="D206" t="s">
        <v>19</v>
      </c>
      <c r="E206" t="str">
        <f t="shared" si="22"/>
        <v>Tier 2</v>
      </c>
      <c r="F206" t="s">
        <v>12</v>
      </c>
      <c r="G206">
        <v>983498</v>
      </c>
      <c r="H206">
        <v>11222000</v>
      </c>
      <c r="I206">
        <v>9908.98</v>
      </c>
      <c r="J206">
        <v>56110</v>
      </c>
      <c r="K206">
        <v>185</v>
      </c>
      <c r="L206">
        <v>3</v>
      </c>
      <c r="M206">
        <f>IFERROR(Marketing_Data[[#This Row],[leads]]/Marketing_Data[[#This Row],[clicks]],0)</f>
        <v>3.2970949919800393E-3</v>
      </c>
      <c r="N206">
        <f>IFERROR(Marketing_Data[[#This Row],[clicks]]/Marketing_Data[[#This Row],[impressions]],0)</f>
        <v>5.0000000000000001E-3</v>
      </c>
      <c r="O206">
        <f>IFERROR(Marketing_Data[[#This Row],[orders]]/Marketing_Data[[#This Row],[leads]],0)</f>
        <v>1.6216216216216217E-2</v>
      </c>
      <c r="P206">
        <f>IFERROR(Marketing_Data[[#This Row],[revenue]]/Marketing_Data[[#This Row],[orders]],0)</f>
        <v>1207</v>
      </c>
      <c r="Q206">
        <f t="shared" si="23"/>
        <v>0.17659918018178578</v>
      </c>
      <c r="R206">
        <f t="shared" si="24"/>
        <v>53.562054054054052</v>
      </c>
      <c r="S206">
        <f t="shared" si="25"/>
        <v>3302.9933333333333</v>
      </c>
      <c r="T206">
        <f t="shared" si="26"/>
        <v>-6287.98</v>
      </c>
      <c r="U206">
        <f t="shared" si="27"/>
        <v>-0.63457389156098809</v>
      </c>
      <c r="V206">
        <v>3621</v>
      </c>
    </row>
    <row r="207" spans="1:22" x14ac:dyDescent="0.25">
      <c r="A207" s="2">
        <v>206</v>
      </c>
      <c r="B207" s="1">
        <v>44246</v>
      </c>
      <c r="C207" s="1" t="str">
        <f t="shared" si="21"/>
        <v>Weekday</v>
      </c>
      <c r="D207" t="s">
        <v>20</v>
      </c>
      <c r="E207" t="str">
        <f t="shared" si="22"/>
        <v>Other</v>
      </c>
      <c r="F207" t="s">
        <v>12</v>
      </c>
      <c r="G207">
        <v>4387490</v>
      </c>
      <c r="H207">
        <v>115166</v>
      </c>
      <c r="I207">
        <v>3173.41</v>
      </c>
      <c r="J207">
        <v>3297</v>
      </c>
      <c r="K207">
        <v>7</v>
      </c>
      <c r="L207">
        <v>1</v>
      </c>
      <c r="M207">
        <f>IFERROR(Marketing_Data[[#This Row],[leads]]/Marketing_Data[[#This Row],[clicks]],0)</f>
        <v>2.1231422505307855E-3</v>
      </c>
      <c r="N207">
        <f>IFERROR(Marketing_Data[[#This Row],[clicks]]/Marketing_Data[[#This Row],[impressions]],0)</f>
        <v>2.8628240973898548E-2</v>
      </c>
      <c r="O207">
        <f>IFERROR(Marketing_Data[[#This Row],[orders]]/Marketing_Data[[#This Row],[leads]],0)</f>
        <v>0.14285714285714285</v>
      </c>
      <c r="P207">
        <f>IFERROR(Marketing_Data[[#This Row],[revenue]]/Marketing_Data[[#This Row],[orders]],0)</f>
        <v>5199</v>
      </c>
      <c r="Q207">
        <f t="shared" si="23"/>
        <v>0.96251440703669999</v>
      </c>
      <c r="R207">
        <f t="shared" si="24"/>
        <v>453.34428571428572</v>
      </c>
      <c r="S207">
        <f t="shared" si="25"/>
        <v>3173.41</v>
      </c>
      <c r="T207">
        <f t="shared" si="26"/>
        <v>2025.5900000000001</v>
      </c>
      <c r="U207">
        <f t="shared" si="27"/>
        <v>0.63830075533889419</v>
      </c>
      <c r="V207">
        <v>5199</v>
      </c>
    </row>
    <row r="208" spans="1:22" x14ac:dyDescent="0.25">
      <c r="A208" s="2">
        <v>207</v>
      </c>
      <c r="B208" s="1">
        <v>44246</v>
      </c>
      <c r="C208" s="1" t="str">
        <f t="shared" si="21"/>
        <v>Weekday</v>
      </c>
      <c r="D208" t="s">
        <v>21</v>
      </c>
      <c r="E208" t="str">
        <f t="shared" si="22"/>
        <v>Other</v>
      </c>
      <c r="F208" t="s">
        <v>12</v>
      </c>
      <c r="G208">
        <v>544756</v>
      </c>
      <c r="H208">
        <v>1320200</v>
      </c>
      <c r="I208">
        <v>440355</v>
      </c>
      <c r="J208">
        <v>13202</v>
      </c>
      <c r="K208">
        <v>264</v>
      </c>
      <c r="L208">
        <v>45</v>
      </c>
      <c r="M208">
        <f>IFERROR(Marketing_Data[[#This Row],[leads]]/Marketing_Data[[#This Row],[clicks]],0)</f>
        <v>1.9996970156036964E-2</v>
      </c>
      <c r="N208">
        <f>IFERROR(Marketing_Data[[#This Row],[clicks]]/Marketing_Data[[#This Row],[impressions]],0)</f>
        <v>0.01</v>
      </c>
      <c r="O208">
        <f>IFERROR(Marketing_Data[[#This Row],[orders]]/Marketing_Data[[#This Row],[leads]],0)</f>
        <v>0.17045454545454544</v>
      </c>
      <c r="P208">
        <f>IFERROR(Marketing_Data[[#This Row],[revenue]]/Marketing_Data[[#This Row],[orders]],0)</f>
        <v>1785</v>
      </c>
      <c r="Q208">
        <f t="shared" si="23"/>
        <v>33.355173458566881</v>
      </c>
      <c r="R208">
        <f t="shared" si="24"/>
        <v>1668.0113636363637</v>
      </c>
      <c r="S208">
        <f t="shared" si="25"/>
        <v>9785.6666666666661</v>
      </c>
      <c r="T208">
        <f t="shared" si="26"/>
        <v>-360030</v>
      </c>
      <c r="U208">
        <f t="shared" si="27"/>
        <v>-0.81759035323772866</v>
      </c>
      <c r="V208">
        <v>80325</v>
      </c>
    </row>
    <row r="209" spans="1:22" x14ac:dyDescent="0.25">
      <c r="A209" s="2">
        <v>208</v>
      </c>
      <c r="B209" s="1">
        <v>44246</v>
      </c>
      <c r="C209" s="1" t="str">
        <f t="shared" si="21"/>
        <v>Weekday</v>
      </c>
      <c r="D209" t="s">
        <v>22</v>
      </c>
      <c r="E209" t="str">
        <f t="shared" si="22"/>
        <v>Other</v>
      </c>
      <c r="F209" t="s">
        <v>17</v>
      </c>
      <c r="G209">
        <v>374754</v>
      </c>
      <c r="H209">
        <v>3299900</v>
      </c>
      <c r="I209">
        <v>404285</v>
      </c>
      <c r="J209">
        <v>32999</v>
      </c>
      <c r="K209">
        <v>694</v>
      </c>
      <c r="L209">
        <v>104</v>
      </c>
      <c r="M209">
        <f>IFERROR(Marketing_Data[[#This Row],[leads]]/Marketing_Data[[#This Row],[clicks]],0)</f>
        <v>2.1030940331525198E-2</v>
      </c>
      <c r="N209">
        <f>IFERROR(Marketing_Data[[#This Row],[clicks]]/Marketing_Data[[#This Row],[impressions]],0)</f>
        <v>0.01</v>
      </c>
      <c r="O209">
        <f>IFERROR(Marketing_Data[[#This Row],[orders]]/Marketing_Data[[#This Row],[leads]],0)</f>
        <v>0.14985590778097982</v>
      </c>
      <c r="P209">
        <f>IFERROR(Marketing_Data[[#This Row],[revenue]]/Marketing_Data[[#This Row],[orders]],0)</f>
        <v>4993</v>
      </c>
      <c r="Q209">
        <f t="shared" si="23"/>
        <v>12.251431861571563</v>
      </c>
      <c r="R209">
        <f t="shared" si="24"/>
        <v>582.54322766570601</v>
      </c>
      <c r="S209">
        <f t="shared" si="25"/>
        <v>3887.3557692307691</v>
      </c>
      <c r="T209">
        <f t="shared" si="26"/>
        <v>114987</v>
      </c>
      <c r="U209">
        <f t="shared" si="27"/>
        <v>0.28442064385272764</v>
      </c>
      <c r="V209">
        <v>519272</v>
      </c>
    </row>
    <row r="210" spans="1:22" x14ac:dyDescent="0.25">
      <c r="A210" s="2">
        <v>209</v>
      </c>
      <c r="B210" s="1">
        <v>44246</v>
      </c>
      <c r="C210" s="1" t="str">
        <f t="shared" si="21"/>
        <v>Weekday</v>
      </c>
      <c r="D210" t="s">
        <v>23</v>
      </c>
      <c r="E210" t="str">
        <f t="shared" si="22"/>
        <v>Other</v>
      </c>
      <c r="F210" t="s">
        <v>24</v>
      </c>
      <c r="G210">
        <v>39889</v>
      </c>
      <c r="H210">
        <v>19065489</v>
      </c>
      <c r="I210">
        <v>492126</v>
      </c>
      <c r="J210">
        <v>46209</v>
      </c>
      <c r="K210">
        <v>924</v>
      </c>
      <c r="L210">
        <v>139</v>
      </c>
      <c r="M210">
        <f>IFERROR(Marketing_Data[[#This Row],[leads]]/Marketing_Data[[#This Row],[clicks]],0)</f>
        <v>1.9996104654937352E-2</v>
      </c>
      <c r="N210">
        <f>IFERROR(Marketing_Data[[#This Row],[clicks]]/Marketing_Data[[#This Row],[impressions]],0)</f>
        <v>2.4236986525758663E-3</v>
      </c>
      <c r="O210">
        <f>IFERROR(Marketing_Data[[#This Row],[orders]]/Marketing_Data[[#This Row],[leads]],0)</f>
        <v>0.15043290043290045</v>
      </c>
      <c r="P210">
        <f>IFERROR(Marketing_Data[[#This Row],[revenue]]/Marketing_Data[[#This Row],[orders]],0)</f>
        <v>4003</v>
      </c>
      <c r="Q210">
        <f t="shared" si="23"/>
        <v>10.650003246120885</v>
      </c>
      <c r="R210">
        <f t="shared" si="24"/>
        <v>532.60389610389609</v>
      </c>
      <c r="S210">
        <f t="shared" si="25"/>
        <v>3540.4748201438847</v>
      </c>
      <c r="T210">
        <f t="shared" si="26"/>
        <v>64291</v>
      </c>
      <c r="U210">
        <f t="shared" si="27"/>
        <v>0.13063930781954214</v>
      </c>
      <c r="V210">
        <v>556417</v>
      </c>
    </row>
    <row r="211" spans="1:22" x14ac:dyDescent="0.25">
      <c r="A211" s="2">
        <v>210</v>
      </c>
      <c r="B211" s="1">
        <v>44247</v>
      </c>
      <c r="C211" s="1" t="str">
        <f t="shared" si="21"/>
        <v>Weekend</v>
      </c>
      <c r="D211" t="s">
        <v>11</v>
      </c>
      <c r="E211" t="str">
        <f t="shared" si="22"/>
        <v>Tier 1</v>
      </c>
      <c r="F211" t="s">
        <v>12</v>
      </c>
      <c r="G211">
        <v>349043</v>
      </c>
      <c r="H211">
        <v>9916906</v>
      </c>
      <c r="I211">
        <v>56874.2</v>
      </c>
      <c r="J211">
        <v>28796</v>
      </c>
      <c r="K211">
        <v>88</v>
      </c>
      <c r="L211">
        <v>12</v>
      </c>
      <c r="M211">
        <f>IFERROR(Marketing_Data[[#This Row],[leads]]/Marketing_Data[[#This Row],[clicks]],0)</f>
        <v>3.0559799972218363E-3</v>
      </c>
      <c r="N211">
        <f>IFERROR(Marketing_Data[[#This Row],[clicks]]/Marketing_Data[[#This Row],[impressions]],0)</f>
        <v>2.9037282394327422E-3</v>
      </c>
      <c r="O211">
        <f>IFERROR(Marketing_Data[[#This Row],[orders]]/Marketing_Data[[#This Row],[leads]],0)</f>
        <v>0.13636363636363635</v>
      </c>
      <c r="P211">
        <f>IFERROR(Marketing_Data[[#This Row],[revenue]]/Marketing_Data[[#This Row],[orders]],0)</f>
        <v>4981</v>
      </c>
      <c r="Q211">
        <f t="shared" si="23"/>
        <v>1.9750729267953882</v>
      </c>
      <c r="R211">
        <f t="shared" si="24"/>
        <v>646.29772727272723</v>
      </c>
      <c r="S211">
        <f t="shared" si="25"/>
        <v>4739.5166666666664</v>
      </c>
      <c r="T211">
        <f t="shared" si="26"/>
        <v>2897.8000000000029</v>
      </c>
      <c r="U211">
        <f t="shared" si="27"/>
        <v>5.0951046344388191E-2</v>
      </c>
      <c r="V211">
        <v>59772</v>
      </c>
    </row>
    <row r="212" spans="1:22" x14ac:dyDescent="0.25">
      <c r="A212" s="2">
        <v>211</v>
      </c>
      <c r="B212" s="1">
        <v>44247</v>
      </c>
      <c r="C212" s="1" t="str">
        <f t="shared" si="21"/>
        <v>Weekend</v>
      </c>
      <c r="D212" t="s">
        <v>25</v>
      </c>
      <c r="E212" t="str">
        <f t="shared" si="22"/>
        <v>Tier 2</v>
      </c>
      <c r="F212" t="s">
        <v>12</v>
      </c>
      <c r="G212">
        <v>348934</v>
      </c>
      <c r="H212">
        <v>7918600</v>
      </c>
      <c r="I212">
        <v>455831</v>
      </c>
      <c r="J212">
        <v>39593</v>
      </c>
      <c r="K212">
        <v>853</v>
      </c>
      <c r="L212">
        <v>68</v>
      </c>
      <c r="M212">
        <f>IFERROR(Marketing_Data[[#This Row],[leads]]/Marketing_Data[[#This Row],[clicks]],0)</f>
        <v>2.1544212360770844E-2</v>
      </c>
      <c r="N212">
        <f>IFERROR(Marketing_Data[[#This Row],[clicks]]/Marketing_Data[[#This Row],[impressions]],0)</f>
        <v>5.0000000000000001E-3</v>
      </c>
      <c r="O212">
        <f>IFERROR(Marketing_Data[[#This Row],[orders]]/Marketing_Data[[#This Row],[leads]],0)</f>
        <v>7.9718640093786639E-2</v>
      </c>
      <c r="P212">
        <f>IFERROR(Marketing_Data[[#This Row],[revenue]]/Marketing_Data[[#This Row],[orders]],0)</f>
        <v>5693</v>
      </c>
      <c r="Q212">
        <f t="shared" si="23"/>
        <v>11.5129189503195</v>
      </c>
      <c r="R212">
        <f t="shared" si="24"/>
        <v>534.38569753810077</v>
      </c>
      <c r="S212">
        <f t="shared" si="25"/>
        <v>6703.3970588235297</v>
      </c>
      <c r="T212">
        <f t="shared" si="26"/>
        <v>-68707</v>
      </c>
      <c r="U212">
        <f t="shared" si="27"/>
        <v>-0.15072910793693275</v>
      </c>
      <c r="V212">
        <v>387124</v>
      </c>
    </row>
    <row r="213" spans="1:22" x14ac:dyDescent="0.25">
      <c r="A213" s="2">
        <v>212</v>
      </c>
      <c r="B213" s="1">
        <v>44247</v>
      </c>
      <c r="C213" s="1" t="str">
        <f t="shared" si="21"/>
        <v>Weekend</v>
      </c>
      <c r="D213" t="s">
        <v>13</v>
      </c>
      <c r="E213" t="str">
        <f t="shared" si="22"/>
        <v>Other</v>
      </c>
      <c r="F213" t="s">
        <v>14</v>
      </c>
      <c r="G213">
        <v>89459845</v>
      </c>
      <c r="H213">
        <v>540450</v>
      </c>
      <c r="I213">
        <v>190469</v>
      </c>
      <c r="J213">
        <v>10809</v>
      </c>
      <c r="K213">
        <v>359</v>
      </c>
      <c r="L213">
        <v>47</v>
      </c>
      <c r="M213">
        <f>IFERROR(Marketing_Data[[#This Row],[leads]]/Marketing_Data[[#This Row],[clicks]],0)</f>
        <v>3.3213063188084001E-2</v>
      </c>
      <c r="N213">
        <f>IFERROR(Marketing_Data[[#This Row],[clicks]]/Marketing_Data[[#This Row],[impressions]],0)</f>
        <v>0.02</v>
      </c>
      <c r="O213">
        <f>IFERROR(Marketing_Data[[#This Row],[orders]]/Marketing_Data[[#This Row],[leads]],0)</f>
        <v>0.1309192200557103</v>
      </c>
      <c r="P213">
        <f>IFERROR(Marketing_Data[[#This Row],[revenue]]/Marketing_Data[[#This Row],[orders]],0)</f>
        <v>7774</v>
      </c>
      <c r="Q213">
        <f t="shared" si="23"/>
        <v>17.621334073457305</v>
      </c>
      <c r="R213">
        <f t="shared" si="24"/>
        <v>530.55431754874655</v>
      </c>
      <c r="S213">
        <f t="shared" si="25"/>
        <v>4052.5319148936169</v>
      </c>
      <c r="T213">
        <f t="shared" si="26"/>
        <v>174909</v>
      </c>
      <c r="U213">
        <f t="shared" si="27"/>
        <v>0.91830691608608228</v>
      </c>
      <c r="V213">
        <v>365378</v>
      </c>
    </row>
    <row r="214" spans="1:22" x14ac:dyDescent="0.25">
      <c r="A214" s="2">
        <v>213</v>
      </c>
      <c r="B214" s="1">
        <v>44247</v>
      </c>
      <c r="C214" s="1" t="str">
        <f t="shared" si="21"/>
        <v>Weekend</v>
      </c>
      <c r="D214" t="s">
        <v>15</v>
      </c>
      <c r="E214" t="str">
        <f t="shared" si="22"/>
        <v>Other</v>
      </c>
      <c r="F214" t="s">
        <v>14</v>
      </c>
      <c r="G214">
        <v>127823</v>
      </c>
      <c r="H214">
        <v>5762000</v>
      </c>
      <c r="I214">
        <v>435770</v>
      </c>
      <c r="J214">
        <v>28810</v>
      </c>
      <c r="K214">
        <v>732</v>
      </c>
      <c r="L214">
        <v>96</v>
      </c>
      <c r="M214">
        <f>IFERROR(Marketing_Data[[#This Row],[leads]]/Marketing_Data[[#This Row],[clicks]],0)</f>
        <v>2.5407844498438043E-2</v>
      </c>
      <c r="N214">
        <f>IFERROR(Marketing_Data[[#This Row],[clicks]]/Marketing_Data[[#This Row],[impressions]],0)</f>
        <v>5.0000000000000001E-3</v>
      </c>
      <c r="O214">
        <f>IFERROR(Marketing_Data[[#This Row],[orders]]/Marketing_Data[[#This Row],[leads]],0)</f>
        <v>0.13114754098360656</v>
      </c>
      <c r="P214">
        <f>IFERROR(Marketing_Data[[#This Row],[revenue]]/Marketing_Data[[#This Row],[orders]],0)</f>
        <v>2640</v>
      </c>
      <c r="Q214">
        <f t="shared" si="23"/>
        <v>15.125650815688997</v>
      </c>
      <c r="R214">
        <f t="shared" si="24"/>
        <v>595.31420765027326</v>
      </c>
      <c r="S214">
        <f t="shared" si="25"/>
        <v>4539.270833333333</v>
      </c>
      <c r="T214">
        <f t="shared" si="26"/>
        <v>-182330</v>
      </c>
      <c r="U214">
        <f t="shared" si="27"/>
        <v>-0.41840879362966704</v>
      </c>
      <c r="V214">
        <v>253440</v>
      </c>
    </row>
    <row r="215" spans="1:22" x14ac:dyDescent="0.25">
      <c r="A215" s="2">
        <v>214</v>
      </c>
      <c r="B215" s="1">
        <v>44247</v>
      </c>
      <c r="C215" s="1" t="str">
        <f t="shared" si="21"/>
        <v>Weekend</v>
      </c>
      <c r="D215" t="s">
        <v>16</v>
      </c>
      <c r="E215" t="str">
        <f t="shared" si="22"/>
        <v>Other</v>
      </c>
      <c r="F215" t="s">
        <v>17</v>
      </c>
      <c r="G215">
        <v>10934</v>
      </c>
      <c r="H215">
        <v>5399300</v>
      </c>
      <c r="I215">
        <v>303860</v>
      </c>
      <c r="J215">
        <v>53993</v>
      </c>
      <c r="K215">
        <v>1094</v>
      </c>
      <c r="L215">
        <v>182</v>
      </c>
      <c r="M215">
        <f>IFERROR(Marketing_Data[[#This Row],[leads]]/Marketing_Data[[#This Row],[clicks]],0)</f>
        <v>2.0261885800011113E-2</v>
      </c>
      <c r="N215">
        <f>IFERROR(Marketing_Data[[#This Row],[clicks]]/Marketing_Data[[#This Row],[impressions]],0)</f>
        <v>0.01</v>
      </c>
      <c r="O215">
        <f>IFERROR(Marketing_Data[[#This Row],[orders]]/Marketing_Data[[#This Row],[leads]],0)</f>
        <v>0.1663619744058501</v>
      </c>
      <c r="P215">
        <f>IFERROR(Marketing_Data[[#This Row],[revenue]]/Marketing_Data[[#This Row],[orders]],0)</f>
        <v>7980.9890109890111</v>
      </c>
      <c r="Q215">
        <f t="shared" si="23"/>
        <v>5.6277665623321544</v>
      </c>
      <c r="R215">
        <f t="shared" si="24"/>
        <v>277.7513711151737</v>
      </c>
      <c r="S215">
        <f t="shared" si="25"/>
        <v>1669.5604395604396</v>
      </c>
      <c r="T215">
        <f t="shared" si="26"/>
        <v>1148680</v>
      </c>
      <c r="U215">
        <f t="shared" si="27"/>
        <v>3.7802935562430067</v>
      </c>
      <c r="V215">
        <v>1452540</v>
      </c>
    </row>
    <row r="216" spans="1:22" x14ac:dyDescent="0.25">
      <c r="A216" s="2">
        <v>215</v>
      </c>
      <c r="B216" s="1">
        <v>44247</v>
      </c>
      <c r="C216" s="1" t="str">
        <f t="shared" si="21"/>
        <v>Weekend</v>
      </c>
      <c r="D216" t="s">
        <v>18</v>
      </c>
      <c r="E216" t="str">
        <f t="shared" si="22"/>
        <v>Tier 1</v>
      </c>
      <c r="F216" t="s">
        <v>12</v>
      </c>
      <c r="G216">
        <v>9034945</v>
      </c>
      <c r="H216">
        <v>7669421</v>
      </c>
      <c r="I216">
        <v>404737</v>
      </c>
      <c r="J216">
        <v>32395</v>
      </c>
      <c r="K216">
        <v>1003</v>
      </c>
      <c r="L216">
        <v>139</v>
      </c>
      <c r="M216">
        <f>IFERROR(Marketing_Data[[#This Row],[leads]]/Marketing_Data[[#This Row],[clicks]],0)</f>
        <v>3.096156814323198E-2</v>
      </c>
      <c r="N216">
        <f>IFERROR(Marketing_Data[[#This Row],[clicks]]/Marketing_Data[[#This Row],[impressions]],0)</f>
        <v>4.2239172944085347E-3</v>
      </c>
      <c r="O216">
        <f>IFERROR(Marketing_Data[[#This Row],[orders]]/Marketing_Data[[#This Row],[leads]],0)</f>
        <v>0.13858424725822532</v>
      </c>
      <c r="P216">
        <f>IFERROR(Marketing_Data[[#This Row],[revenue]]/Marketing_Data[[#This Row],[orders]],0)</f>
        <v>6094</v>
      </c>
      <c r="Q216">
        <f t="shared" si="23"/>
        <v>12.49381077326748</v>
      </c>
      <c r="R216">
        <f t="shared" si="24"/>
        <v>403.52642073778662</v>
      </c>
      <c r="S216">
        <f t="shared" si="25"/>
        <v>2911.776978417266</v>
      </c>
      <c r="T216">
        <f t="shared" si="26"/>
        <v>442329</v>
      </c>
      <c r="U216">
        <f t="shared" si="27"/>
        <v>1.0928800677971127</v>
      </c>
      <c r="V216">
        <v>847066</v>
      </c>
    </row>
    <row r="217" spans="1:22" x14ac:dyDescent="0.25">
      <c r="A217" s="2">
        <v>216</v>
      </c>
      <c r="B217" s="1">
        <v>44247</v>
      </c>
      <c r="C217" s="1" t="str">
        <f t="shared" si="21"/>
        <v>Weekend</v>
      </c>
      <c r="D217" t="s">
        <v>19</v>
      </c>
      <c r="E217" t="str">
        <f t="shared" si="22"/>
        <v>Tier 2</v>
      </c>
      <c r="F217" t="s">
        <v>12</v>
      </c>
      <c r="G217">
        <v>983498</v>
      </c>
      <c r="H217">
        <v>12239000</v>
      </c>
      <c r="I217">
        <v>150065</v>
      </c>
      <c r="J217">
        <v>61195</v>
      </c>
      <c r="K217">
        <v>1224</v>
      </c>
      <c r="L217">
        <v>48</v>
      </c>
      <c r="M217">
        <f>IFERROR(Marketing_Data[[#This Row],[leads]]/Marketing_Data[[#This Row],[clicks]],0)</f>
        <v>2.0001634120434677E-2</v>
      </c>
      <c r="N217">
        <f>IFERROR(Marketing_Data[[#This Row],[clicks]]/Marketing_Data[[#This Row],[impressions]],0)</f>
        <v>5.0000000000000001E-3</v>
      </c>
      <c r="O217">
        <f>IFERROR(Marketing_Data[[#This Row],[orders]]/Marketing_Data[[#This Row],[leads]],0)</f>
        <v>3.9215686274509803E-2</v>
      </c>
      <c r="P217">
        <f>IFERROR(Marketing_Data[[#This Row],[revenue]]/Marketing_Data[[#This Row],[orders]],0)</f>
        <v>1529</v>
      </c>
      <c r="Q217">
        <f t="shared" si="23"/>
        <v>2.4522428302965928</v>
      </c>
      <c r="R217">
        <f t="shared" si="24"/>
        <v>122.60212418300654</v>
      </c>
      <c r="S217">
        <f t="shared" si="25"/>
        <v>3126.3541666666665</v>
      </c>
      <c r="T217">
        <f t="shared" si="26"/>
        <v>-76673</v>
      </c>
      <c r="U217">
        <f t="shared" si="27"/>
        <v>-0.51093192949721788</v>
      </c>
      <c r="V217">
        <v>73392</v>
      </c>
    </row>
    <row r="218" spans="1:22" x14ac:dyDescent="0.25">
      <c r="A218" s="2">
        <v>217</v>
      </c>
      <c r="B218" s="1">
        <v>44247</v>
      </c>
      <c r="C218" s="1" t="str">
        <f t="shared" si="21"/>
        <v>Weekend</v>
      </c>
      <c r="D218" t="s">
        <v>20</v>
      </c>
      <c r="E218" t="str">
        <f t="shared" si="22"/>
        <v>Other</v>
      </c>
      <c r="F218" t="s">
        <v>12</v>
      </c>
      <c r="G218">
        <v>4387490</v>
      </c>
      <c r="H218">
        <v>111784</v>
      </c>
      <c r="I218">
        <v>73587.5</v>
      </c>
      <c r="J218">
        <v>3594</v>
      </c>
      <c r="K218">
        <v>116</v>
      </c>
      <c r="L218">
        <v>24</v>
      </c>
      <c r="M218">
        <f>IFERROR(Marketing_Data[[#This Row],[leads]]/Marketing_Data[[#This Row],[clicks]],0)</f>
        <v>3.2276015581524764E-2</v>
      </c>
      <c r="N218">
        <f>IFERROR(Marketing_Data[[#This Row],[clicks]]/Marketing_Data[[#This Row],[impressions]],0)</f>
        <v>3.2151291776998499E-2</v>
      </c>
      <c r="O218">
        <f>IFERROR(Marketing_Data[[#This Row],[orders]]/Marketing_Data[[#This Row],[leads]],0)</f>
        <v>0.20689655172413793</v>
      </c>
      <c r="P218">
        <f>IFERROR(Marketing_Data[[#This Row],[revenue]]/Marketing_Data[[#This Row],[orders]],0)</f>
        <v>4981</v>
      </c>
      <c r="Q218">
        <f t="shared" si="23"/>
        <v>20.475097384529771</v>
      </c>
      <c r="R218">
        <f t="shared" si="24"/>
        <v>634.375</v>
      </c>
      <c r="S218">
        <f t="shared" si="25"/>
        <v>3066.1458333333335</v>
      </c>
      <c r="T218">
        <f t="shared" si="26"/>
        <v>45956.5</v>
      </c>
      <c r="U218">
        <f t="shared" si="27"/>
        <v>0.62451503312383216</v>
      </c>
      <c r="V218">
        <v>119544</v>
      </c>
    </row>
    <row r="219" spans="1:22" x14ac:dyDescent="0.25">
      <c r="A219" s="2">
        <v>218</v>
      </c>
      <c r="B219" s="1">
        <v>44247</v>
      </c>
      <c r="C219" s="1" t="str">
        <f t="shared" si="21"/>
        <v>Weekend</v>
      </c>
      <c r="D219" t="s">
        <v>21</v>
      </c>
      <c r="E219" t="str">
        <f t="shared" si="22"/>
        <v>Other</v>
      </c>
      <c r="F219" t="s">
        <v>12</v>
      </c>
      <c r="G219">
        <v>544756</v>
      </c>
      <c r="H219">
        <v>1118531</v>
      </c>
      <c r="I219">
        <v>173041</v>
      </c>
      <c r="J219">
        <v>14399</v>
      </c>
      <c r="K219">
        <v>113</v>
      </c>
      <c r="L219">
        <v>18</v>
      </c>
      <c r="M219">
        <f>IFERROR(Marketing_Data[[#This Row],[leads]]/Marketing_Data[[#This Row],[clicks]],0)</f>
        <v>7.8477672060559764E-3</v>
      </c>
      <c r="N219">
        <f>IFERROR(Marketing_Data[[#This Row],[clicks]]/Marketing_Data[[#This Row],[impressions]],0)</f>
        <v>1.2873134495154806E-2</v>
      </c>
      <c r="O219">
        <f>IFERROR(Marketing_Data[[#This Row],[orders]]/Marketing_Data[[#This Row],[leads]],0)</f>
        <v>0.15929203539823009</v>
      </c>
      <c r="P219">
        <f>IFERROR(Marketing_Data[[#This Row],[revenue]]/Marketing_Data[[#This Row],[orders]],0)</f>
        <v>981</v>
      </c>
      <c r="Q219">
        <f t="shared" si="23"/>
        <v>12.017570664629488</v>
      </c>
      <c r="R219">
        <f t="shared" si="24"/>
        <v>1531.3362831858408</v>
      </c>
      <c r="S219">
        <f t="shared" si="25"/>
        <v>9613.3888888888887</v>
      </c>
      <c r="T219">
        <f t="shared" si="26"/>
        <v>-155383</v>
      </c>
      <c r="U219">
        <f t="shared" si="27"/>
        <v>-0.89795481995596416</v>
      </c>
      <c r="V219">
        <v>17658</v>
      </c>
    </row>
    <row r="220" spans="1:22" x14ac:dyDescent="0.25">
      <c r="A220" s="2">
        <v>219</v>
      </c>
      <c r="B220" s="1">
        <v>44247</v>
      </c>
      <c r="C220" s="1" t="str">
        <f t="shared" si="21"/>
        <v>Weekend</v>
      </c>
      <c r="D220" t="s">
        <v>22</v>
      </c>
      <c r="E220" t="str">
        <f t="shared" si="22"/>
        <v>Other</v>
      </c>
      <c r="F220" t="s">
        <v>17</v>
      </c>
      <c r="G220">
        <v>374754</v>
      </c>
      <c r="H220">
        <v>5497354</v>
      </c>
      <c r="I220">
        <v>504576</v>
      </c>
      <c r="J220">
        <v>35994</v>
      </c>
      <c r="K220">
        <v>822</v>
      </c>
      <c r="L220">
        <v>137</v>
      </c>
      <c r="M220">
        <f>IFERROR(Marketing_Data[[#This Row],[leads]]/Marketing_Data[[#This Row],[clicks]],0)</f>
        <v>2.2837139523253877E-2</v>
      </c>
      <c r="N220">
        <f>IFERROR(Marketing_Data[[#This Row],[clicks]]/Marketing_Data[[#This Row],[impressions]],0)</f>
        <v>6.5475135856268305E-3</v>
      </c>
      <c r="O220">
        <f>IFERROR(Marketing_Data[[#This Row],[orders]]/Marketing_Data[[#This Row],[leads]],0)</f>
        <v>0.16666666666666666</v>
      </c>
      <c r="P220">
        <f>IFERROR(Marketing_Data[[#This Row],[revenue]]/Marketing_Data[[#This Row],[orders]],0)</f>
        <v>4981</v>
      </c>
      <c r="Q220">
        <f t="shared" si="23"/>
        <v>14.018336389398232</v>
      </c>
      <c r="R220">
        <f t="shared" si="24"/>
        <v>613.83941605839414</v>
      </c>
      <c r="S220">
        <f t="shared" si="25"/>
        <v>3683.0364963503648</v>
      </c>
      <c r="T220">
        <f t="shared" si="26"/>
        <v>177821</v>
      </c>
      <c r="U220">
        <f t="shared" si="27"/>
        <v>0.35241668252156266</v>
      </c>
      <c r="V220">
        <v>682397</v>
      </c>
    </row>
    <row r="221" spans="1:22" x14ac:dyDescent="0.25">
      <c r="A221" s="2">
        <v>220</v>
      </c>
      <c r="B221" s="1">
        <v>44247</v>
      </c>
      <c r="C221" s="1" t="str">
        <f t="shared" si="21"/>
        <v>Weekend</v>
      </c>
      <c r="D221" t="s">
        <v>23</v>
      </c>
      <c r="E221" t="str">
        <f t="shared" si="22"/>
        <v>Other</v>
      </c>
      <c r="F221" t="s">
        <v>24</v>
      </c>
      <c r="G221">
        <v>39889</v>
      </c>
      <c r="H221">
        <v>26012342</v>
      </c>
      <c r="I221">
        <v>750361</v>
      </c>
      <c r="J221">
        <v>50408</v>
      </c>
      <c r="K221">
        <v>1678</v>
      </c>
      <c r="L221">
        <v>252</v>
      </c>
      <c r="M221">
        <f>IFERROR(Marketing_Data[[#This Row],[leads]]/Marketing_Data[[#This Row],[clicks]],0)</f>
        <v>3.3288366925884778E-2</v>
      </c>
      <c r="N221">
        <f>IFERROR(Marketing_Data[[#This Row],[clicks]]/Marketing_Data[[#This Row],[impressions]],0)</f>
        <v>1.9378493485899886E-3</v>
      </c>
      <c r="O221">
        <f>IFERROR(Marketing_Data[[#This Row],[orders]]/Marketing_Data[[#This Row],[leads]],0)</f>
        <v>0.1501787842669845</v>
      </c>
      <c r="P221">
        <f>IFERROR(Marketing_Data[[#This Row],[revenue]]/Marketing_Data[[#This Row],[orders]],0)</f>
        <v>3980.9920634920636</v>
      </c>
      <c r="Q221">
        <f t="shared" si="23"/>
        <v>14.885752261545786</v>
      </c>
      <c r="R221">
        <f t="shared" si="24"/>
        <v>447.17580452920146</v>
      </c>
      <c r="S221">
        <f t="shared" si="25"/>
        <v>2977.6230158730159</v>
      </c>
      <c r="T221">
        <f t="shared" si="26"/>
        <v>252849</v>
      </c>
      <c r="U221">
        <f t="shared" si="27"/>
        <v>0.33696980520043018</v>
      </c>
      <c r="V221">
        <v>1003210</v>
      </c>
    </row>
    <row r="222" spans="1:22" x14ac:dyDescent="0.25">
      <c r="A222" s="2">
        <v>221</v>
      </c>
      <c r="B222" s="1">
        <v>44248</v>
      </c>
      <c r="C222" s="1" t="str">
        <f t="shared" si="21"/>
        <v>Weekend</v>
      </c>
      <c r="D222" t="s">
        <v>11</v>
      </c>
      <c r="E222" t="str">
        <f t="shared" si="22"/>
        <v>Tier 1</v>
      </c>
      <c r="F222" t="s">
        <v>12</v>
      </c>
      <c r="G222">
        <v>349043</v>
      </c>
      <c r="H222">
        <v>478600</v>
      </c>
      <c r="I222">
        <v>38596.699999999997</v>
      </c>
      <c r="J222">
        <v>2393</v>
      </c>
      <c r="K222">
        <v>66</v>
      </c>
      <c r="L222">
        <v>7</v>
      </c>
      <c r="M222">
        <f>IFERROR(Marketing_Data[[#This Row],[leads]]/Marketing_Data[[#This Row],[clicks]],0)</f>
        <v>2.7580442958629336E-2</v>
      </c>
      <c r="N222">
        <f>IFERROR(Marketing_Data[[#This Row],[clicks]]/Marketing_Data[[#This Row],[impressions]],0)</f>
        <v>5.0000000000000001E-3</v>
      </c>
      <c r="O222">
        <f>IFERROR(Marketing_Data[[#This Row],[orders]]/Marketing_Data[[#This Row],[leads]],0)</f>
        <v>0.10606060606060606</v>
      </c>
      <c r="P222">
        <f>IFERROR(Marketing_Data[[#This Row],[revenue]]/Marketing_Data[[#This Row],[orders]],0)</f>
        <v>4442</v>
      </c>
      <c r="Q222">
        <f t="shared" si="23"/>
        <v>16.129001253656497</v>
      </c>
      <c r="R222">
        <f t="shared" si="24"/>
        <v>584.7984848484848</v>
      </c>
      <c r="S222">
        <f t="shared" si="25"/>
        <v>5513.8142857142857</v>
      </c>
      <c r="T222">
        <f t="shared" si="26"/>
        <v>-7502.6999999999971</v>
      </c>
      <c r="U222">
        <f t="shared" si="27"/>
        <v>-0.1943870849062225</v>
      </c>
      <c r="V222">
        <v>31094</v>
      </c>
    </row>
    <row r="223" spans="1:22" x14ac:dyDescent="0.25">
      <c r="A223" s="2">
        <v>222</v>
      </c>
      <c r="B223" s="1">
        <v>44248</v>
      </c>
      <c r="C223" s="1" t="str">
        <f t="shared" si="21"/>
        <v>Weekend</v>
      </c>
      <c r="D223" t="s">
        <v>25</v>
      </c>
      <c r="E223" t="str">
        <f t="shared" si="22"/>
        <v>Tier 2</v>
      </c>
      <c r="F223" t="s">
        <v>12</v>
      </c>
      <c r="G223">
        <v>348934</v>
      </c>
      <c r="H223">
        <v>543787</v>
      </c>
      <c r="I223">
        <v>39481</v>
      </c>
      <c r="J223">
        <v>3299</v>
      </c>
      <c r="K223">
        <v>113</v>
      </c>
      <c r="L223">
        <v>6</v>
      </c>
      <c r="M223">
        <f>IFERROR(Marketing_Data[[#This Row],[leads]]/Marketing_Data[[#This Row],[clicks]],0)</f>
        <v>3.4252803879963628E-2</v>
      </c>
      <c r="N223">
        <f>IFERROR(Marketing_Data[[#This Row],[clicks]]/Marketing_Data[[#This Row],[impressions]],0)</f>
        <v>6.0667136213259972E-3</v>
      </c>
      <c r="O223">
        <f>IFERROR(Marketing_Data[[#This Row],[orders]]/Marketing_Data[[#This Row],[leads]],0)</f>
        <v>5.3097345132743362E-2</v>
      </c>
      <c r="P223">
        <f>IFERROR(Marketing_Data[[#This Row],[revenue]]/Marketing_Data[[#This Row],[orders]],0)</f>
        <v>4923</v>
      </c>
      <c r="Q223">
        <f t="shared" si="23"/>
        <v>11.967565929069416</v>
      </c>
      <c r="R223">
        <f t="shared" si="24"/>
        <v>349.38938053097343</v>
      </c>
      <c r="S223">
        <f t="shared" si="25"/>
        <v>6580.166666666667</v>
      </c>
      <c r="T223">
        <f t="shared" si="26"/>
        <v>-9943</v>
      </c>
      <c r="U223">
        <f t="shared" si="27"/>
        <v>-0.25184265849395909</v>
      </c>
      <c r="V223">
        <v>29538</v>
      </c>
    </row>
    <row r="224" spans="1:22" x14ac:dyDescent="0.25">
      <c r="A224" s="2">
        <v>223</v>
      </c>
      <c r="B224" s="1">
        <v>44248</v>
      </c>
      <c r="C224" s="1" t="str">
        <f t="shared" si="21"/>
        <v>Weekend</v>
      </c>
      <c r="D224" t="s">
        <v>13</v>
      </c>
      <c r="E224" t="str">
        <f t="shared" si="22"/>
        <v>Other</v>
      </c>
      <c r="F224" t="s">
        <v>14</v>
      </c>
      <c r="G224">
        <v>89459845</v>
      </c>
      <c r="H224">
        <v>49655</v>
      </c>
      <c r="I224">
        <v>9444.1200000000008</v>
      </c>
      <c r="J224">
        <v>907</v>
      </c>
      <c r="K224">
        <v>18</v>
      </c>
      <c r="L224">
        <v>2</v>
      </c>
      <c r="M224">
        <f>IFERROR(Marketing_Data[[#This Row],[leads]]/Marketing_Data[[#This Row],[clicks]],0)</f>
        <v>1.9845644983461964E-2</v>
      </c>
      <c r="N224">
        <f>IFERROR(Marketing_Data[[#This Row],[clicks]]/Marketing_Data[[#This Row],[impressions]],0)</f>
        <v>1.8266035645957104E-2</v>
      </c>
      <c r="O224">
        <f>IFERROR(Marketing_Data[[#This Row],[orders]]/Marketing_Data[[#This Row],[leads]],0)</f>
        <v>0.1111111111111111</v>
      </c>
      <c r="P224">
        <f>IFERROR(Marketing_Data[[#This Row],[revenue]]/Marketing_Data[[#This Row],[orders]],0)</f>
        <v>7981</v>
      </c>
      <c r="Q224">
        <f t="shared" si="23"/>
        <v>10.412480705622933</v>
      </c>
      <c r="R224">
        <f t="shared" si="24"/>
        <v>524.6733333333334</v>
      </c>
      <c r="S224">
        <f t="shared" si="25"/>
        <v>4722.0600000000004</v>
      </c>
      <c r="T224">
        <f t="shared" si="26"/>
        <v>6517.8799999999992</v>
      </c>
      <c r="U224">
        <f t="shared" si="27"/>
        <v>0.69015217934545503</v>
      </c>
      <c r="V224">
        <v>15962</v>
      </c>
    </row>
    <row r="225" spans="1:22" x14ac:dyDescent="0.25">
      <c r="A225" s="2">
        <v>224</v>
      </c>
      <c r="B225" s="1">
        <v>44248</v>
      </c>
      <c r="C225" s="1" t="str">
        <f t="shared" si="21"/>
        <v>Weekend</v>
      </c>
      <c r="D225" t="s">
        <v>15</v>
      </c>
      <c r="E225" t="str">
        <f t="shared" si="22"/>
        <v>Other</v>
      </c>
      <c r="F225" t="s">
        <v>14</v>
      </c>
      <c r="G225">
        <v>127823</v>
      </c>
      <c r="H225">
        <v>478400</v>
      </c>
      <c r="I225">
        <v>17476.2</v>
      </c>
      <c r="J225">
        <v>2392</v>
      </c>
      <c r="K225">
        <v>48</v>
      </c>
      <c r="L225">
        <v>5</v>
      </c>
      <c r="M225">
        <f>IFERROR(Marketing_Data[[#This Row],[leads]]/Marketing_Data[[#This Row],[clicks]],0)</f>
        <v>2.0066889632107024E-2</v>
      </c>
      <c r="N225">
        <f>IFERROR(Marketing_Data[[#This Row],[clicks]]/Marketing_Data[[#This Row],[impressions]],0)</f>
        <v>5.0000000000000001E-3</v>
      </c>
      <c r="O225">
        <f>IFERROR(Marketing_Data[[#This Row],[orders]]/Marketing_Data[[#This Row],[leads]],0)</f>
        <v>0.10416666666666667</v>
      </c>
      <c r="P225">
        <f>IFERROR(Marketing_Data[[#This Row],[revenue]]/Marketing_Data[[#This Row],[orders]],0)</f>
        <v>2582</v>
      </c>
      <c r="Q225">
        <f t="shared" si="23"/>
        <v>7.306103678929766</v>
      </c>
      <c r="R225">
        <f t="shared" si="24"/>
        <v>364.08750000000003</v>
      </c>
      <c r="S225">
        <f t="shared" si="25"/>
        <v>3495.2400000000002</v>
      </c>
      <c r="T225">
        <f t="shared" si="26"/>
        <v>-4566.2000000000007</v>
      </c>
      <c r="U225">
        <f t="shared" si="27"/>
        <v>-0.26128105652258504</v>
      </c>
      <c r="V225">
        <v>12910</v>
      </c>
    </row>
    <row r="226" spans="1:22" x14ac:dyDescent="0.25">
      <c r="A226" s="2">
        <v>225</v>
      </c>
      <c r="B226" s="1">
        <v>44248</v>
      </c>
      <c r="C226" s="1" t="str">
        <f t="shared" si="21"/>
        <v>Weekend</v>
      </c>
      <c r="D226" t="s">
        <v>16</v>
      </c>
      <c r="E226" t="str">
        <f t="shared" si="22"/>
        <v>Other</v>
      </c>
      <c r="F226" t="s">
        <v>17</v>
      </c>
      <c r="G226">
        <v>10934</v>
      </c>
      <c r="H226">
        <v>713896</v>
      </c>
      <c r="I226">
        <v>30801</v>
      </c>
      <c r="J226">
        <v>4507</v>
      </c>
      <c r="K226">
        <v>90</v>
      </c>
      <c r="L226">
        <v>20</v>
      </c>
      <c r="M226">
        <f>IFERROR(Marketing_Data[[#This Row],[leads]]/Marketing_Data[[#This Row],[clicks]],0)</f>
        <v>1.9968937208786331E-2</v>
      </c>
      <c r="N226">
        <f>IFERROR(Marketing_Data[[#This Row],[clicks]]/Marketing_Data[[#This Row],[impressions]],0)</f>
        <v>6.3132445062025842E-3</v>
      </c>
      <c r="O226">
        <f>IFERROR(Marketing_Data[[#This Row],[orders]]/Marketing_Data[[#This Row],[leads]],0)</f>
        <v>0.22222222222222221</v>
      </c>
      <c r="P226">
        <f>IFERROR(Marketing_Data[[#This Row],[revenue]]/Marketing_Data[[#This Row],[orders]],0)</f>
        <v>7981</v>
      </c>
      <c r="Q226">
        <f t="shared" si="23"/>
        <v>6.8340359440869758</v>
      </c>
      <c r="R226">
        <f t="shared" si="24"/>
        <v>342.23333333333335</v>
      </c>
      <c r="S226">
        <f t="shared" si="25"/>
        <v>1540.05</v>
      </c>
      <c r="T226">
        <f t="shared" si="26"/>
        <v>128819</v>
      </c>
      <c r="U226">
        <f t="shared" si="27"/>
        <v>4.1822992759975328</v>
      </c>
      <c r="V226">
        <v>159620</v>
      </c>
    </row>
    <row r="227" spans="1:22" x14ac:dyDescent="0.25">
      <c r="A227" s="2">
        <v>226</v>
      </c>
      <c r="B227" s="1">
        <v>44248</v>
      </c>
      <c r="C227" s="1" t="str">
        <f t="shared" si="21"/>
        <v>Weekend</v>
      </c>
      <c r="D227" t="s">
        <v>18</v>
      </c>
      <c r="E227" t="str">
        <f t="shared" si="22"/>
        <v>Tier 1</v>
      </c>
      <c r="F227" t="s">
        <v>12</v>
      </c>
      <c r="G227">
        <v>9034945</v>
      </c>
      <c r="H227">
        <v>555915</v>
      </c>
      <c r="I227">
        <v>29457.5</v>
      </c>
      <c r="J227">
        <v>2709</v>
      </c>
      <c r="K227">
        <v>60</v>
      </c>
      <c r="L227">
        <v>10</v>
      </c>
      <c r="M227">
        <f>IFERROR(Marketing_Data[[#This Row],[leads]]/Marketing_Data[[#This Row],[clicks]],0)</f>
        <v>2.2148394241417499E-2</v>
      </c>
      <c r="N227">
        <f>IFERROR(Marketing_Data[[#This Row],[clicks]]/Marketing_Data[[#This Row],[impressions]],0)</f>
        <v>4.8730471385013893E-3</v>
      </c>
      <c r="O227">
        <f>IFERROR(Marketing_Data[[#This Row],[orders]]/Marketing_Data[[#This Row],[leads]],0)</f>
        <v>0.16666666666666666</v>
      </c>
      <c r="P227">
        <f>IFERROR(Marketing_Data[[#This Row],[revenue]]/Marketing_Data[[#This Row],[orders]],0)</f>
        <v>5554</v>
      </c>
      <c r="Q227">
        <f t="shared" si="23"/>
        <v>10.873938722775932</v>
      </c>
      <c r="R227">
        <f t="shared" si="24"/>
        <v>490.95833333333331</v>
      </c>
      <c r="S227">
        <f t="shared" si="25"/>
        <v>2945.75</v>
      </c>
      <c r="T227">
        <f t="shared" si="26"/>
        <v>26082.5</v>
      </c>
      <c r="U227">
        <f t="shared" si="27"/>
        <v>0.88542815921242468</v>
      </c>
      <c r="V227">
        <v>55540</v>
      </c>
    </row>
    <row r="228" spans="1:22" x14ac:dyDescent="0.25">
      <c r="A228" s="2">
        <v>227</v>
      </c>
      <c r="B228" s="1">
        <v>44248</v>
      </c>
      <c r="C228" s="1" t="str">
        <f t="shared" si="21"/>
        <v>Weekend</v>
      </c>
      <c r="D228" t="s">
        <v>19</v>
      </c>
      <c r="E228" t="str">
        <f t="shared" si="22"/>
        <v>Tier 2</v>
      </c>
      <c r="F228" t="s">
        <v>12</v>
      </c>
      <c r="G228">
        <v>983498</v>
      </c>
      <c r="H228">
        <v>781353</v>
      </c>
      <c r="I228">
        <v>12503.5</v>
      </c>
      <c r="J228">
        <v>5104</v>
      </c>
      <c r="K228">
        <v>102</v>
      </c>
      <c r="L228">
        <v>4</v>
      </c>
      <c r="M228">
        <f>IFERROR(Marketing_Data[[#This Row],[leads]]/Marketing_Data[[#This Row],[clicks]],0)</f>
        <v>1.9984326018808778E-2</v>
      </c>
      <c r="N228">
        <f>IFERROR(Marketing_Data[[#This Row],[clicks]]/Marketing_Data[[#This Row],[impressions]],0)</f>
        <v>6.5322587870015221E-3</v>
      </c>
      <c r="O228">
        <f>IFERROR(Marketing_Data[[#This Row],[orders]]/Marketing_Data[[#This Row],[leads]],0)</f>
        <v>3.9215686274509803E-2</v>
      </c>
      <c r="P228">
        <f>IFERROR(Marketing_Data[[#This Row],[revenue]]/Marketing_Data[[#This Row],[orders]],0)</f>
        <v>1981</v>
      </c>
      <c r="Q228">
        <f t="shared" si="23"/>
        <v>2.4497452978056424</v>
      </c>
      <c r="R228">
        <f t="shared" si="24"/>
        <v>122.58333333333333</v>
      </c>
      <c r="S228">
        <f t="shared" si="25"/>
        <v>3125.875</v>
      </c>
      <c r="T228">
        <f t="shared" si="26"/>
        <v>-4579.5</v>
      </c>
      <c r="U228">
        <f t="shared" si="27"/>
        <v>-0.36625744791458392</v>
      </c>
      <c r="V228">
        <v>7924</v>
      </c>
    </row>
    <row r="229" spans="1:22" x14ac:dyDescent="0.25">
      <c r="A229" s="2">
        <v>228</v>
      </c>
      <c r="B229" s="1">
        <v>44248</v>
      </c>
      <c r="C229" s="1" t="str">
        <f t="shared" si="21"/>
        <v>Weekend</v>
      </c>
      <c r="D229" t="s">
        <v>20</v>
      </c>
      <c r="E229" t="str">
        <f t="shared" si="22"/>
        <v>Other</v>
      </c>
      <c r="F229" t="s">
        <v>12</v>
      </c>
      <c r="G229">
        <v>4387490</v>
      </c>
      <c r="H229">
        <v>10812</v>
      </c>
      <c r="I229">
        <v>1555.96</v>
      </c>
      <c r="J229">
        <v>296</v>
      </c>
      <c r="K229">
        <v>3</v>
      </c>
      <c r="L229">
        <v>1</v>
      </c>
      <c r="M229">
        <f>IFERROR(Marketing_Data[[#This Row],[leads]]/Marketing_Data[[#This Row],[clicks]],0)</f>
        <v>1.0135135135135136E-2</v>
      </c>
      <c r="N229">
        <f>IFERROR(Marketing_Data[[#This Row],[clicks]]/Marketing_Data[[#This Row],[impressions]],0)</f>
        <v>2.737698853126156E-2</v>
      </c>
      <c r="O229">
        <f>IFERROR(Marketing_Data[[#This Row],[orders]]/Marketing_Data[[#This Row],[leads]],0)</f>
        <v>0.33333333333333331</v>
      </c>
      <c r="P229">
        <f>IFERROR(Marketing_Data[[#This Row],[revenue]]/Marketing_Data[[#This Row],[orders]],0)</f>
        <v>3993</v>
      </c>
      <c r="Q229">
        <f t="shared" si="23"/>
        <v>5.2566216216216217</v>
      </c>
      <c r="R229">
        <f t="shared" si="24"/>
        <v>518.65333333333331</v>
      </c>
      <c r="S229">
        <f t="shared" si="25"/>
        <v>1555.96</v>
      </c>
      <c r="T229">
        <f t="shared" si="26"/>
        <v>2437.04</v>
      </c>
      <c r="U229">
        <f t="shared" si="27"/>
        <v>1.5662613434792667</v>
      </c>
      <c r="V229">
        <v>3993</v>
      </c>
    </row>
    <row r="230" spans="1:22" x14ac:dyDescent="0.25">
      <c r="A230" s="2">
        <v>229</v>
      </c>
      <c r="B230" s="1">
        <v>44248</v>
      </c>
      <c r="C230" s="1" t="str">
        <f t="shared" si="21"/>
        <v>Weekend</v>
      </c>
      <c r="D230" t="s">
        <v>21</v>
      </c>
      <c r="E230" t="str">
        <f t="shared" si="22"/>
        <v>Other</v>
      </c>
      <c r="F230" t="s">
        <v>12</v>
      </c>
      <c r="G230">
        <v>544756</v>
      </c>
      <c r="H230">
        <v>119400</v>
      </c>
      <c r="I230">
        <v>32169.9</v>
      </c>
      <c r="J230">
        <v>1194</v>
      </c>
      <c r="K230">
        <v>24</v>
      </c>
      <c r="L230">
        <v>4</v>
      </c>
      <c r="M230">
        <f>IFERROR(Marketing_Data[[#This Row],[leads]]/Marketing_Data[[#This Row],[clicks]],0)</f>
        <v>2.0100502512562814E-2</v>
      </c>
      <c r="N230">
        <f>IFERROR(Marketing_Data[[#This Row],[clicks]]/Marketing_Data[[#This Row],[impressions]],0)</f>
        <v>0.01</v>
      </c>
      <c r="O230">
        <f>IFERROR(Marketing_Data[[#This Row],[orders]]/Marketing_Data[[#This Row],[leads]],0)</f>
        <v>0.16666666666666666</v>
      </c>
      <c r="P230">
        <f>IFERROR(Marketing_Data[[#This Row],[revenue]]/Marketing_Data[[#This Row],[orders]],0)</f>
        <v>981</v>
      </c>
      <c r="Q230">
        <f t="shared" si="23"/>
        <v>26.942964824120605</v>
      </c>
      <c r="R230">
        <f t="shared" si="24"/>
        <v>1340.4125000000001</v>
      </c>
      <c r="S230">
        <f t="shared" si="25"/>
        <v>8042.4750000000004</v>
      </c>
      <c r="T230">
        <f t="shared" si="26"/>
        <v>-28245.9</v>
      </c>
      <c r="U230">
        <f t="shared" si="27"/>
        <v>-0.87802262363265038</v>
      </c>
      <c r="V230">
        <v>3924</v>
      </c>
    </row>
    <row r="231" spans="1:22" x14ac:dyDescent="0.25">
      <c r="A231" s="2">
        <v>230</v>
      </c>
      <c r="B231" s="1">
        <v>44248</v>
      </c>
      <c r="C231" s="1" t="str">
        <f t="shared" si="21"/>
        <v>Weekend</v>
      </c>
      <c r="D231" t="s">
        <v>22</v>
      </c>
      <c r="E231" t="str">
        <f t="shared" si="22"/>
        <v>Other</v>
      </c>
      <c r="F231" t="s">
        <v>17</v>
      </c>
      <c r="G231">
        <v>374754</v>
      </c>
      <c r="H231">
        <v>300900</v>
      </c>
      <c r="I231">
        <v>65006.3</v>
      </c>
      <c r="J231">
        <v>3009</v>
      </c>
      <c r="K231">
        <v>89</v>
      </c>
      <c r="L231">
        <v>17</v>
      </c>
      <c r="M231">
        <f>IFERROR(Marketing_Data[[#This Row],[leads]]/Marketing_Data[[#This Row],[clicks]],0)</f>
        <v>2.9577932868062481E-2</v>
      </c>
      <c r="N231">
        <f>IFERROR(Marketing_Data[[#This Row],[clicks]]/Marketing_Data[[#This Row],[impressions]],0)</f>
        <v>0.01</v>
      </c>
      <c r="O231">
        <f>IFERROR(Marketing_Data[[#This Row],[orders]]/Marketing_Data[[#This Row],[leads]],0)</f>
        <v>0.19101123595505617</v>
      </c>
      <c r="P231">
        <f>IFERROR(Marketing_Data[[#This Row],[revenue]]/Marketing_Data[[#This Row],[orders]],0)</f>
        <v>4981</v>
      </c>
      <c r="Q231">
        <f t="shared" si="23"/>
        <v>21.603954802259889</v>
      </c>
      <c r="R231">
        <f t="shared" si="24"/>
        <v>730.40786516853939</v>
      </c>
      <c r="S231">
        <f t="shared" si="25"/>
        <v>3823.9</v>
      </c>
      <c r="T231">
        <f t="shared" si="26"/>
        <v>19670.699999999997</v>
      </c>
      <c r="U231">
        <f t="shared" si="27"/>
        <v>0.30259682523078524</v>
      </c>
      <c r="V231">
        <v>84677</v>
      </c>
    </row>
    <row r="232" spans="1:22" x14ac:dyDescent="0.25">
      <c r="A232" s="2">
        <v>231</v>
      </c>
      <c r="B232" s="1">
        <v>44248</v>
      </c>
      <c r="C232" s="1" t="str">
        <f t="shared" si="21"/>
        <v>Weekend</v>
      </c>
      <c r="D232" t="s">
        <v>23</v>
      </c>
      <c r="E232" t="str">
        <f t="shared" si="22"/>
        <v>Other</v>
      </c>
      <c r="F232" t="s">
        <v>24</v>
      </c>
      <c r="G232">
        <v>39889</v>
      </c>
      <c r="H232">
        <v>42080000</v>
      </c>
      <c r="I232">
        <v>25023.200000000001</v>
      </c>
      <c r="J232">
        <v>4208</v>
      </c>
      <c r="K232">
        <v>67</v>
      </c>
      <c r="L232">
        <v>10</v>
      </c>
      <c r="M232">
        <f>IFERROR(Marketing_Data[[#This Row],[leads]]/Marketing_Data[[#This Row],[clicks]],0)</f>
        <v>1.5922053231939164E-2</v>
      </c>
      <c r="N232">
        <f>IFERROR(Marketing_Data[[#This Row],[clicks]]/Marketing_Data[[#This Row],[impressions]],0)</f>
        <v>1E-4</v>
      </c>
      <c r="O232">
        <f>IFERROR(Marketing_Data[[#This Row],[orders]]/Marketing_Data[[#This Row],[leads]],0)</f>
        <v>0.14925373134328357</v>
      </c>
      <c r="P232">
        <f>IFERROR(Marketing_Data[[#This Row],[revenue]]/Marketing_Data[[#This Row],[orders]],0)</f>
        <v>3171</v>
      </c>
      <c r="Q232">
        <f t="shared" si="23"/>
        <v>5.9465779467680608</v>
      </c>
      <c r="R232">
        <f t="shared" si="24"/>
        <v>373.48059701492537</v>
      </c>
      <c r="S232">
        <f t="shared" si="25"/>
        <v>2502.3200000000002</v>
      </c>
      <c r="T232">
        <f t="shared" si="26"/>
        <v>6686.7999999999993</v>
      </c>
      <c r="U232">
        <f t="shared" si="27"/>
        <v>0.26722401611304708</v>
      </c>
      <c r="V232">
        <v>31710</v>
      </c>
    </row>
    <row r="233" spans="1:22" x14ac:dyDescent="0.25">
      <c r="A233" s="2">
        <v>232</v>
      </c>
      <c r="B233" s="1">
        <v>44249</v>
      </c>
      <c r="C233" s="1" t="str">
        <f t="shared" si="21"/>
        <v>Weekday</v>
      </c>
      <c r="D233" t="s">
        <v>11</v>
      </c>
      <c r="E233" t="str">
        <f t="shared" si="22"/>
        <v>Tier 1</v>
      </c>
      <c r="F233" t="s">
        <v>12</v>
      </c>
      <c r="G233">
        <v>349043</v>
      </c>
      <c r="H233">
        <v>605386</v>
      </c>
      <c r="I233">
        <v>59710</v>
      </c>
      <c r="J233">
        <v>4802</v>
      </c>
      <c r="K233">
        <v>96</v>
      </c>
      <c r="L233">
        <v>12</v>
      </c>
      <c r="M233">
        <f>IFERROR(Marketing_Data[[#This Row],[leads]]/Marketing_Data[[#This Row],[clicks]],0)</f>
        <v>1.9991670137442734E-2</v>
      </c>
      <c r="N233">
        <f>IFERROR(Marketing_Data[[#This Row],[clicks]]/Marketing_Data[[#This Row],[impressions]],0)</f>
        <v>7.9321292530715945E-3</v>
      </c>
      <c r="O233">
        <f>IFERROR(Marketing_Data[[#This Row],[orders]]/Marketing_Data[[#This Row],[leads]],0)</f>
        <v>0.125</v>
      </c>
      <c r="P233">
        <f>IFERROR(Marketing_Data[[#This Row],[revenue]]/Marketing_Data[[#This Row],[orders]],0)</f>
        <v>5636</v>
      </c>
      <c r="Q233">
        <f t="shared" si="23"/>
        <v>12.434402332361516</v>
      </c>
      <c r="R233">
        <f t="shared" si="24"/>
        <v>621.97916666666663</v>
      </c>
      <c r="S233">
        <f t="shared" si="25"/>
        <v>4975.833333333333</v>
      </c>
      <c r="T233">
        <f t="shared" si="26"/>
        <v>7922</v>
      </c>
      <c r="U233">
        <f t="shared" si="27"/>
        <v>0.13267459387037348</v>
      </c>
      <c r="V233">
        <v>67632</v>
      </c>
    </row>
    <row r="234" spans="1:22" x14ac:dyDescent="0.25">
      <c r="A234" s="2">
        <v>233</v>
      </c>
      <c r="B234" s="1">
        <v>44249</v>
      </c>
      <c r="C234" s="1" t="str">
        <f t="shared" si="21"/>
        <v>Weekday</v>
      </c>
      <c r="D234" t="s">
        <v>25</v>
      </c>
      <c r="E234" t="str">
        <f t="shared" si="22"/>
        <v>Tier 2</v>
      </c>
      <c r="F234" t="s">
        <v>12</v>
      </c>
      <c r="G234">
        <v>348934</v>
      </c>
      <c r="H234">
        <v>2090371</v>
      </c>
      <c r="I234">
        <v>95536.2</v>
      </c>
      <c r="J234">
        <v>6606</v>
      </c>
      <c r="K234">
        <v>132</v>
      </c>
      <c r="L234">
        <v>14</v>
      </c>
      <c r="M234">
        <f>IFERROR(Marketing_Data[[#This Row],[leads]]/Marketing_Data[[#This Row],[clicks]],0)</f>
        <v>1.9981834695731154E-2</v>
      </c>
      <c r="N234">
        <f>IFERROR(Marketing_Data[[#This Row],[clicks]]/Marketing_Data[[#This Row],[impressions]],0)</f>
        <v>3.1602045761254822E-3</v>
      </c>
      <c r="O234">
        <f>IFERROR(Marketing_Data[[#This Row],[orders]]/Marketing_Data[[#This Row],[leads]],0)</f>
        <v>0.10606060606060606</v>
      </c>
      <c r="P234">
        <f>IFERROR(Marketing_Data[[#This Row],[revenue]]/Marketing_Data[[#This Row],[orders]],0)</f>
        <v>4981</v>
      </c>
      <c r="Q234">
        <f t="shared" si="23"/>
        <v>14.462034514078111</v>
      </c>
      <c r="R234">
        <f t="shared" si="24"/>
        <v>723.7590909090909</v>
      </c>
      <c r="S234">
        <f t="shared" si="25"/>
        <v>6824.0142857142855</v>
      </c>
      <c r="T234">
        <f t="shared" si="26"/>
        <v>-25802.199999999997</v>
      </c>
      <c r="U234">
        <f t="shared" si="27"/>
        <v>-0.27007772969827143</v>
      </c>
      <c r="V234">
        <v>69734</v>
      </c>
    </row>
    <row r="235" spans="1:22" x14ac:dyDescent="0.25">
      <c r="A235" s="2">
        <v>234</v>
      </c>
      <c r="B235" s="1">
        <v>44249</v>
      </c>
      <c r="C235" s="1" t="str">
        <f t="shared" si="21"/>
        <v>Weekday</v>
      </c>
      <c r="D235" t="s">
        <v>13</v>
      </c>
      <c r="E235" t="str">
        <f t="shared" si="22"/>
        <v>Other</v>
      </c>
      <c r="F235" t="s">
        <v>14</v>
      </c>
      <c r="G235">
        <v>89459845</v>
      </c>
      <c r="H235">
        <v>90500</v>
      </c>
      <c r="I235">
        <v>30645.4</v>
      </c>
      <c r="J235">
        <v>1810</v>
      </c>
      <c r="K235">
        <v>65</v>
      </c>
      <c r="L235">
        <v>7</v>
      </c>
      <c r="M235">
        <f>IFERROR(Marketing_Data[[#This Row],[leads]]/Marketing_Data[[#This Row],[clicks]],0)</f>
        <v>3.591160220994475E-2</v>
      </c>
      <c r="N235">
        <f>IFERROR(Marketing_Data[[#This Row],[clicks]]/Marketing_Data[[#This Row],[impressions]],0)</f>
        <v>0.02</v>
      </c>
      <c r="O235">
        <f>IFERROR(Marketing_Data[[#This Row],[orders]]/Marketing_Data[[#This Row],[leads]],0)</f>
        <v>0.1076923076923077</v>
      </c>
      <c r="P235">
        <f>IFERROR(Marketing_Data[[#This Row],[revenue]]/Marketing_Data[[#This Row],[orders]],0)</f>
        <v>8435</v>
      </c>
      <c r="Q235">
        <f t="shared" si="23"/>
        <v>16.931160220994474</v>
      </c>
      <c r="R235">
        <f t="shared" si="24"/>
        <v>471.46769230769235</v>
      </c>
      <c r="S235">
        <f t="shared" si="25"/>
        <v>4377.9142857142861</v>
      </c>
      <c r="T235">
        <f t="shared" si="26"/>
        <v>28399.599999999999</v>
      </c>
      <c r="U235">
        <f t="shared" si="27"/>
        <v>0.92671657083934289</v>
      </c>
      <c r="V235">
        <v>59045</v>
      </c>
    </row>
    <row r="236" spans="1:22" x14ac:dyDescent="0.25">
      <c r="A236" s="2">
        <v>235</v>
      </c>
      <c r="B236" s="1">
        <v>44249</v>
      </c>
      <c r="C236" s="1" t="str">
        <f t="shared" si="21"/>
        <v>Weekday</v>
      </c>
      <c r="D236" t="s">
        <v>15</v>
      </c>
      <c r="E236" t="str">
        <f t="shared" si="22"/>
        <v>Other</v>
      </c>
      <c r="F236" t="s">
        <v>14</v>
      </c>
      <c r="G236">
        <v>127823</v>
      </c>
      <c r="H236">
        <v>959600</v>
      </c>
      <c r="I236">
        <v>12348.3</v>
      </c>
      <c r="J236">
        <v>4798</v>
      </c>
      <c r="K236">
        <v>39</v>
      </c>
      <c r="L236">
        <v>4</v>
      </c>
      <c r="M236">
        <f>IFERROR(Marketing_Data[[#This Row],[leads]]/Marketing_Data[[#This Row],[clicks]],0)</f>
        <v>8.1283868278449346E-3</v>
      </c>
      <c r="N236">
        <f>IFERROR(Marketing_Data[[#This Row],[clicks]]/Marketing_Data[[#This Row],[impressions]],0)</f>
        <v>5.0000000000000001E-3</v>
      </c>
      <c r="O236">
        <f>IFERROR(Marketing_Data[[#This Row],[orders]]/Marketing_Data[[#This Row],[leads]],0)</f>
        <v>0.10256410256410256</v>
      </c>
      <c r="P236">
        <f>IFERROR(Marketing_Data[[#This Row],[revenue]]/Marketing_Data[[#This Row],[orders]],0)</f>
        <v>2981</v>
      </c>
      <c r="Q236">
        <f t="shared" si="23"/>
        <v>2.5736348478532722</v>
      </c>
      <c r="R236">
        <f t="shared" si="24"/>
        <v>316.62307692307689</v>
      </c>
      <c r="S236">
        <f t="shared" si="25"/>
        <v>3087.0749999999998</v>
      </c>
      <c r="T236">
        <f t="shared" si="26"/>
        <v>-424.29999999999927</v>
      </c>
      <c r="U236">
        <f t="shared" si="27"/>
        <v>-3.4361005158604768E-2</v>
      </c>
      <c r="V236">
        <v>11924</v>
      </c>
    </row>
    <row r="237" spans="1:22" x14ac:dyDescent="0.25">
      <c r="A237" s="2">
        <v>236</v>
      </c>
      <c r="B237" s="1">
        <v>44249</v>
      </c>
      <c r="C237" s="1" t="str">
        <f t="shared" si="21"/>
        <v>Weekday</v>
      </c>
      <c r="D237" t="s">
        <v>16</v>
      </c>
      <c r="E237" t="str">
        <f t="shared" si="22"/>
        <v>Other</v>
      </c>
      <c r="F237" t="s">
        <v>17</v>
      </c>
      <c r="G237">
        <v>10934</v>
      </c>
      <c r="H237">
        <v>757387</v>
      </c>
      <c r="I237">
        <v>77803.8</v>
      </c>
      <c r="J237">
        <v>8997</v>
      </c>
      <c r="K237">
        <v>180</v>
      </c>
      <c r="L237">
        <v>42</v>
      </c>
      <c r="M237">
        <f>IFERROR(Marketing_Data[[#This Row],[leads]]/Marketing_Data[[#This Row],[clicks]],0)</f>
        <v>2.0006668889629875E-2</v>
      </c>
      <c r="N237">
        <f>IFERROR(Marketing_Data[[#This Row],[clicks]]/Marketing_Data[[#This Row],[impressions]],0)</f>
        <v>1.1878999771583087E-2</v>
      </c>
      <c r="O237">
        <f>IFERROR(Marketing_Data[[#This Row],[orders]]/Marketing_Data[[#This Row],[leads]],0)</f>
        <v>0.23333333333333334</v>
      </c>
      <c r="P237">
        <f>IFERROR(Marketing_Data[[#This Row],[revenue]]/Marketing_Data[[#This Row],[orders]],0)</f>
        <v>8557</v>
      </c>
      <c r="Q237">
        <f t="shared" si="23"/>
        <v>8.6477492497499178</v>
      </c>
      <c r="R237">
        <f t="shared" si="24"/>
        <v>432.24333333333334</v>
      </c>
      <c r="S237">
        <f t="shared" si="25"/>
        <v>1852.4714285714285</v>
      </c>
      <c r="T237">
        <f t="shared" si="26"/>
        <v>281590.2</v>
      </c>
      <c r="U237">
        <f t="shared" si="27"/>
        <v>3.6192345361023497</v>
      </c>
      <c r="V237">
        <v>359394</v>
      </c>
    </row>
    <row r="238" spans="1:22" x14ac:dyDescent="0.25">
      <c r="A238" s="2">
        <v>237</v>
      </c>
      <c r="B238" s="1">
        <v>44249</v>
      </c>
      <c r="C238" s="1" t="str">
        <f t="shared" si="21"/>
        <v>Weekday</v>
      </c>
      <c r="D238" t="s">
        <v>18</v>
      </c>
      <c r="E238" t="str">
        <f t="shared" si="22"/>
        <v>Tier 1</v>
      </c>
      <c r="F238" t="s">
        <v>12</v>
      </c>
      <c r="G238">
        <v>9034945</v>
      </c>
      <c r="H238">
        <v>4565811</v>
      </c>
      <c r="I238">
        <v>33474.699999999997</v>
      </c>
      <c r="J238">
        <v>5397</v>
      </c>
      <c r="K238">
        <v>108</v>
      </c>
      <c r="L238">
        <v>9</v>
      </c>
      <c r="M238">
        <f>IFERROR(Marketing_Data[[#This Row],[leads]]/Marketing_Data[[#This Row],[clicks]],0)</f>
        <v>2.0011117287381877E-2</v>
      </c>
      <c r="N238">
        <f>IFERROR(Marketing_Data[[#This Row],[clicks]]/Marketing_Data[[#This Row],[impressions]],0)</f>
        <v>1.1820463002082215E-3</v>
      </c>
      <c r="O238">
        <f>IFERROR(Marketing_Data[[#This Row],[orders]]/Marketing_Data[[#This Row],[leads]],0)</f>
        <v>8.3333333333333329E-2</v>
      </c>
      <c r="P238">
        <f>IFERROR(Marketing_Data[[#This Row],[revenue]]/Marketing_Data[[#This Row],[orders]],0)</f>
        <v>5981</v>
      </c>
      <c r="Q238">
        <f t="shared" si="23"/>
        <v>6.2024643320363158</v>
      </c>
      <c r="R238">
        <f t="shared" si="24"/>
        <v>309.9509259259259</v>
      </c>
      <c r="S238">
        <f t="shared" si="25"/>
        <v>3719.4111111111106</v>
      </c>
      <c r="T238">
        <f t="shared" si="26"/>
        <v>20354.300000000003</v>
      </c>
      <c r="U238">
        <f t="shared" si="27"/>
        <v>0.60805025885220798</v>
      </c>
      <c r="V238">
        <v>53829</v>
      </c>
    </row>
    <row r="239" spans="1:22" x14ac:dyDescent="0.25">
      <c r="A239" s="2">
        <v>238</v>
      </c>
      <c r="B239" s="1">
        <v>44249</v>
      </c>
      <c r="C239" s="1" t="str">
        <f t="shared" si="21"/>
        <v>Weekday</v>
      </c>
      <c r="D239" t="s">
        <v>19</v>
      </c>
      <c r="E239" t="str">
        <f t="shared" si="22"/>
        <v>Tier 2</v>
      </c>
      <c r="F239" t="s">
        <v>12</v>
      </c>
      <c r="G239">
        <v>983498</v>
      </c>
      <c r="H239">
        <v>2190892</v>
      </c>
      <c r="I239">
        <v>19196.599999999999</v>
      </c>
      <c r="J239">
        <v>10202</v>
      </c>
      <c r="K239">
        <v>124</v>
      </c>
      <c r="L239">
        <v>7</v>
      </c>
      <c r="M239">
        <f>IFERROR(Marketing_Data[[#This Row],[leads]]/Marketing_Data[[#This Row],[clicks]],0)</f>
        <v>1.215447951382082E-2</v>
      </c>
      <c r="N239">
        <f>IFERROR(Marketing_Data[[#This Row],[clicks]]/Marketing_Data[[#This Row],[impressions]],0)</f>
        <v>4.656550847782547E-3</v>
      </c>
      <c r="O239">
        <f>IFERROR(Marketing_Data[[#This Row],[orders]]/Marketing_Data[[#This Row],[leads]],0)</f>
        <v>5.6451612903225805E-2</v>
      </c>
      <c r="P239">
        <f>IFERROR(Marketing_Data[[#This Row],[revenue]]/Marketing_Data[[#This Row],[orders]],0)</f>
        <v>2086</v>
      </c>
      <c r="Q239">
        <f t="shared" si="23"/>
        <v>1.8816506567339737</v>
      </c>
      <c r="R239">
        <f t="shared" si="24"/>
        <v>154.81129032258065</v>
      </c>
      <c r="S239">
        <f t="shared" si="25"/>
        <v>2742.3714285714282</v>
      </c>
      <c r="T239">
        <f t="shared" si="26"/>
        <v>-4594.5999999999985</v>
      </c>
      <c r="U239">
        <f t="shared" si="27"/>
        <v>-0.23934446724940869</v>
      </c>
      <c r="V239">
        <v>14602</v>
      </c>
    </row>
    <row r="240" spans="1:22" x14ac:dyDescent="0.25">
      <c r="A240" s="2">
        <v>239</v>
      </c>
      <c r="B240" s="1">
        <v>44249</v>
      </c>
      <c r="C240" s="1" t="str">
        <f t="shared" si="21"/>
        <v>Weekday</v>
      </c>
      <c r="D240" t="s">
        <v>20</v>
      </c>
      <c r="E240" t="str">
        <f t="shared" si="22"/>
        <v>Other</v>
      </c>
      <c r="F240" t="s">
        <v>12</v>
      </c>
      <c r="G240">
        <v>4387490</v>
      </c>
      <c r="H240">
        <v>17821</v>
      </c>
      <c r="I240">
        <v>5792.48</v>
      </c>
      <c r="J240">
        <v>598</v>
      </c>
      <c r="K240">
        <v>12</v>
      </c>
      <c r="L240">
        <v>3</v>
      </c>
      <c r="M240">
        <f>IFERROR(Marketing_Data[[#This Row],[leads]]/Marketing_Data[[#This Row],[clicks]],0)</f>
        <v>2.0066889632107024E-2</v>
      </c>
      <c r="N240">
        <f>IFERROR(Marketing_Data[[#This Row],[clicks]]/Marketing_Data[[#This Row],[impressions]],0)</f>
        <v>3.3555917176364962E-2</v>
      </c>
      <c r="O240">
        <f>IFERROR(Marketing_Data[[#This Row],[orders]]/Marketing_Data[[#This Row],[leads]],0)</f>
        <v>0.25</v>
      </c>
      <c r="P240">
        <f>IFERROR(Marketing_Data[[#This Row],[revenue]]/Marketing_Data[[#This Row],[orders]],0)</f>
        <v>4056</v>
      </c>
      <c r="Q240">
        <f t="shared" si="23"/>
        <v>9.6864214046822728</v>
      </c>
      <c r="R240">
        <f t="shared" si="24"/>
        <v>482.70666666666665</v>
      </c>
      <c r="S240">
        <f t="shared" si="25"/>
        <v>1930.8266666666666</v>
      </c>
      <c r="T240">
        <f t="shared" si="26"/>
        <v>6375.52</v>
      </c>
      <c r="U240">
        <f t="shared" si="27"/>
        <v>1.1006546418805072</v>
      </c>
      <c r="V240">
        <v>12168</v>
      </c>
    </row>
    <row r="241" spans="1:22" x14ac:dyDescent="0.25">
      <c r="A241" s="2">
        <v>240</v>
      </c>
      <c r="B241" s="1">
        <v>44249</v>
      </c>
      <c r="C241" s="1" t="str">
        <f t="shared" si="21"/>
        <v>Weekday</v>
      </c>
      <c r="D241" t="s">
        <v>21</v>
      </c>
      <c r="E241" t="str">
        <f t="shared" si="22"/>
        <v>Other</v>
      </c>
      <c r="F241" t="s">
        <v>12</v>
      </c>
      <c r="G241">
        <v>544756</v>
      </c>
      <c r="H241">
        <v>239600</v>
      </c>
      <c r="I241">
        <v>51783.3</v>
      </c>
      <c r="J241">
        <v>2396</v>
      </c>
      <c r="K241">
        <v>48</v>
      </c>
      <c r="L241">
        <v>6</v>
      </c>
      <c r="M241">
        <f>IFERROR(Marketing_Data[[#This Row],[leads]]/Marketing_Data[[#This Row],[clicks]],0)</f>
        <v>2.003338898163606E-2</v>
      </c>
      <c r="N241">
        <f>IFERROR(Marketing_Data[[#This Row],[clicks]]/Marketing_Data[[#This Row],[impressions]],0)</f>
        <v>0.01</v>
      </c>
      <c r="O241">
        <f>IFERROR(Marketing_Data[[#This Row],[orders]]/Marketing_Data[[#This Row],[leads]],0)</f>
        <v>0.125</v>
      </c>
      <c r="P241">
        <f>IFERROR(Marketing_Data[[#This Row],[revenue]]/Marketing_Data[[#This Row],[orders]],0)</f>
        <v>981</v>
      </c>
      <c r="Q241">
        <f t="shared" si="23"/>
        <v>21.612395659432387</v>
      </c>
      <c r="R241">
        <f t="shared" si="24"/>
        <v>1078.8187500000001</v>
      </c>
      <c r="S241">
        <f t="shared" si="25"/>
        <v>8630.5500000000011</v>
      </c>
      <c r="T241">
        <f t="shared" si="26"/>
        <v>-45897.3</v>
      </c>
      <c r="U241">
        <f t="shared" si="27"/>
        <v>-0.88633401115803745</v>
      </c>
      <c r="V241">
        <v>5886</v>
      </c>
    </row>
    <row r="242" spans="1:22" x14ac:dyDescent="0.25">
      <c r="A242" s="2">
        <v>241</v>
      </c>
      <c r="B242" s="1">
        <v>44249</v>
      </c>
      <c r="C242" s="1" t="str">
        <f t="shared" si="21"/>
        <v>Weekday</v>
      </c>
      <c r="D242" t="s">
        <v>22</v>
      </c>
      <c r="E242" t="str">
        <f t="shared" si="22"/>
        <v>Other</v>
      </c>
      <c r="F242" t="s">
        <v>17</v>
      </c>
      <c r="G242">
        <v>374754</v>
      </c>
      <c r="H242">
        <v>599700</v>
      </c>
      <c r="I242">
        <v>137382</v>
      </c>
      <c r="J242">
        <v>5997</v>
      </c>
      <c r="K242">
        <v>236</v>
      </c>
      <c r="L242">
        <v>35</v>
      </c>
      <c r="M242">
        <f>IFERROR(Marketing_Data[[#This Row],[leads]]/Marketing_Data[[#This Row],[clicks]],0)</f>
        <v>3.9353009838252462E-2</v>
      </c>
      <c r="N242">
        <f>IFERROR(Marketing_Data[[#This Row],[clicks]]/Marketing_Data[[#This Row],[impressions]],0)</f>
        <v>0.01</v>
      </c>
      <c r="O242">
        <f>IFERROR(Marketing_Data[[#This Row],[orders]]/Marketing_Data[[#This Row],[leads]],0)</f>
        <v>0.14830508474576271</v>
      </c>
      <c r="P242">
        <f>IFERROR(Marketing_Data[[#This Row],[revenue]]/Marketing_Data[[#This Row],[orders]],0)</f>
        <v>4524</v>
      </c>
      <c r="Q242">
        <f t="shared" si="23"/>
        <v>22.908454227113555</v>
      </c>
      <c r="R242">
        <f t="shared" si="24"/>
        <v>582.12711864406776</v>
      </c>
      <c r="S242">
        <f t="shared" si="25"/>
        <v>3925.2</v>
      </c>
      <c r="T242">
        <f t="shared" si="26"/>
        <v>20958</v>
      </c>
      <c r="U242">
        <f t="shared" si="27"/>
        <v>0.15255273616630999</v>
      </c>
      <c r="V242">
        <v>158340</v>
      </c>
    </row>
    <row r="243" spans="1:22" x14ac:dyDescent="0.25">
      <c r="A243" s="2">
        <v>242</v>
      </c>
      <c r="B243" s="1">
        <v>44249</v>
      </c>
      <c r="C243" s="1" t="str">
        <f t="shared" si="21"/>
        <v>Weekday</v>
      </c>
      <c r="D243" t="s">
        <v>23</v>
      </c>
      <c r="E243" t="str">
        <f t="shared" si="22"/>
        <v>Other</v>
      </c>
      <c r="F243" t="s">
        <v>24</v>
      </c>
      <c r="G243">
        <v>39889</v>
      </c>
      <c r="H243">
        <v>105873774</v>
      </c>
      <c r="I243">
        <v>60021.599999999999</v>
      </c>
      <c r="J243">
        <v>8409</v>
      </c>
      <c r="K243">
        <v>168</v>
      </c>
      <c r="L243">
        <v>20</v>
      </c>
      <c r="M243">
        <f>IFERROR(Marketing_Data[[#This Row],[leads]]/Marketing_Data[[#This Row],[clicks]],0)</f>
        <v>1.9978594363182306E-2</v>
      </c>
      <c r="N243">
        <f>IFERROR(Marketing_Data[[#This Row],[clicks]]/Marketing_Data[[#This Row],[impressions]],0)</f>
        <v>7.9424768592833953E-5</v>
      </c>
      <c r="O243">
        <f>IFERROR(Marketing_Data[[#This Row],[orders]]/Marketing_Data[[#This Row],[leads]],0)</f>
        <v>0.11904761904761904</v>
      </c>
      <c r="P243">
        <f>IFERROR(Marketing_Data[[#This Row],[revenue]]/Marketing_Data[[#This Row],[orders]],0)</f>
        <v>4030</v>
      </c>
      <c r="Q243">
        <f t="shared" si="23"/>
        <v>7.1377809489832318</v>
      </c>
      <c r="R243">
        <f t="shared" si="24"/>
        <v>357.27142857142854</v>
      </c>
      <c r="S243">
        <f t="shared" si="25"/>
        <v>3001.08</v>
      </c>
      <c r="T243">
        <f t="shared" si="26"/>
        <v>20578.400000000001</v>
      </c>
      <c r="U243">
        <f t="shared" si="27"/>
        <v>0.34284990736668136</v>
      </c>
      <c r="V243">
        <v>80600</v>
      </c>
    </row>
    <row r="244" spans="1:22" x14ac:dyDescent="0.25">
      <c r="A244" s="2">
        <v>243</v>
      </c>
      <c r="B244" s="1">
        <v>44250</v>
      </c>
      <c r="C244" s="1" t="str">
        <f t="shared" si="21"/>
        <v>Weekday</v>
      </c>
      <c r="D244" t="s">
        <v>11</v>
      </c>
      <c r="E244" t="str">
        <f t="shared" si="22"/>
        <v>Tier 1</v>
      </c>
      <c r="F244" t="s">
        <v>12</v>
      </c>
      <c r="G244">
        <v>349043</v>
      </c>
      <c r="H244">
        <v>924525</v>
      </c>
      <c r="I244">
        <v>9858.2800000000007</v>
      </c>
      <c r="J244">
        <v>1203</v>
      </c>
      <c r="K244">
        <v>28</v>
      </c>
      <c r="L244">
        <v>2</v>
      </c>
      <c r="M244">
        <f>IFERROR(Marketing_Data[[#This Row],[leads]]/Marketing_Data[[#This Row],[clicks]],0)</f>
        <v>2.3275145469659187E-2</v>
      </c>
      <c r="N244">
        <f>IFERROR(Marketing_Data[[#This Row],[clicks]]/Marketing_Data[[#This Row],[impressions]],0)</f>
        <v>1.3012087288066846E-3</v>
      </c>
      <c r="O244">
        <f>IFERROR(Marketing_Data[[#This Row],[orders]]/Marketing_Data[[#This Row],[leads]],0)</f>
        <v>7.1428571428571425E-2</v>
      </c>
      <c r="P244">
        <f>IFERROR(Marketing_Data[[#This Row],[revenue]]/Marketing_Data[[#This Row],[orders]],0)</f>
        <v>4981</v>
      </c>
      <c r="Q244">
        <f t="shared" si="23"/>
        <v>8.1947464671654195</v>
      </c>
      <c r="R244">
        <f t="shared" si="24"/>
        <v>352.0814285714286</v>
      </c>
      <c r="S244">
        <f t="shared" si="25"/>
        <v>4929.1400000000003</v>
      </c>
      <c r="T244">
        <f t="shared" si="26"/>
        <v>103.71999999999935</v>
      </c>
      <c r="U244">
        <f t="shared" si="27"/>
        <v>1.0521105101498368E-2</v>
      </c>
      <c r="V244">
        <v>9962</v>
      </c>
    </row>
    <row r="245" spans="1:22" x14ac:dyDescent="0.25">
      <c r="A245" s="2">
        <v>244</v>
      </c>
      <c r="B245" s="1">
        <v>44250</v>
      </c>
      <c r="C245" s="1" t="str">
        <f t="shared" si="21"/>
        <v>Weekday</v>
      </c>
      <c r="D245" t="s">
        <v>25</v>
      </c>
      <c r="E245" t="str">
        <f t="shared" si="22"/>
        <v>Tier 2</v>
      </c>
      <c r="F245" t="s">
        <v>12</v>
      </c>
      <c r="G245">
        <v>348934</v>
      </c>
      <c r="H245">
        <v>475992</v>
      </c>
      <c r="I245">
        <v>19350</v>
      </c>
      <c r="J245">
        <v>1641</v>
      </c>
      <c r="K245">
        <v>37</v>
      </c>
      <c r="L245">
        <v>3</v>
      </c>
      <c r="M245">
        <f>IFERROR(Marketing_Data[[#This Row],[leads]]/Marketing_Data[[#This Row],[clicks]],0)</f>
        <v>2.2547227300426569E-2</v>
      </c>
      <c r="N245">
        <f>IFERROR(Marketing_Data[[#This Row],[clicks]]/Marketing_Data[[#This Row],[impressions]],0)</f>
        <v>3.4475369333938385E-3</v>
      </c>
      <c r="O245">
        <f>IFERROR(Marketing_Data[[#This Row],[orders]]/Marketing_Data[[#This Row],[leads]],0)</f>
        <v>8.1081081081081086E-2</v>
      </c>
      <c r="P245">
        <f>IFERROR(Marketing_Data[[#This Row],[revenue]]/Marketing_Data[[#This Row],[orders]],0)</f>
        <v>4075</v>
      </c>
      <c r="Q245">
        <f t="shared" si="23"/>
        <v>11.791590493601463</v>
      </c>
      <c r="R245">
        <f t="shared" si="24"/>
        <v>522.97297297297303</v>
      </c>
      <c r="S245">
        <f t="shared" si="25"/>
        <v>6450</v>
      </c>
      <c r="T245">
        <f t="shared" si="26"/>
        <v>-7125</v>
      </c>
      <c r="U245">
        <f t="shared" si="27"/>
        <v>-0.36821705426356588</v>
      </c>
      <c r="V245">
        <v>12225</v>
      </c>
    </row>
    <row r="246" spans="1:22" x14ac:dyDescent="0.25">
      <c r="A246" s="2">
        <v>245</v>
      </c>
      <c r="B246" s="1">
        <v>44250</v>
      </c>
      <c r="C246" s="1" t="str">
        <f t="shared" si="21"/>
        <v>Weekday</v>
      </c>
      <c r="D246" t="s">
        <v>13</v>
      </c>
      <c r="E246" t="str">
        <f t="shared" si="22"/>
        <v>Other</v>
      </c>
      <c r="F246" t="s">
        <v>14</v>
      </c>
      <c r="G246">
        <v>89459845</v>
      </c>
      <c r="H246">
        <v>22175</v>
      </c>
      <c r="I246">
        <v>5409.21</v>
      </c>
      <c r="J246">
        <v>442</v>
      </c>
      <c r="K246">
        <v>9</v>
      </c>
      <c r="L246">
        <v>2</v>
      </c>
      <c r="M246">
        <f>IFERROR(Marketing_Data[[#This Row],[leads]]/Marketing_Data[[#This Row],[clicks]],0)</f>
        <v>2.0361990950226245E-2</v>
      </c>
      <c r="N246">
        <f>IFERROR(Marketing_Data[[#This Row],[clicks]]/Marketing_Data[[#This Row],[impressions]],0)</f>
        <v>1.9932356257046223E-2</v>
      </c>
      <c r="O246">
        <f>IFERROR(Marketing_Data[[#This Row],[orders]]/Marketing_Data[[#This Row],[leads]],0)</f>
        <v>0.22222222222222221</v>
      </c>
      <c r="P246">
        <f>IFERROR(Marketing_Data[[#This Row],[revenue]]/Marketing_Data[[#This Row],[orders]],0)</f>
        <v>7525</v>
      </c>
      <c r="Q246">
        <f t="shared" si="23"/>
        <v>12.238031674208145</v>
      </c>
      <c r="R246">
        <f t="shared" si="24"/>
        <v>601.02333333333331</v>
      </c>
      <c r="S246">
        <f t="shared" si="25"/>
        <v>2704.605</v>
      </c>
      <c r="T246">
        <f t="shared" si="26"/>
        <v>9640.7900000000009</v>
      </c>
      <c r="U246">
        <f t="shared" si="27"/>
        <v>1.7822916839982179</v>
      </c>
      <c r="V246">
        <v>15050</v>
      </c>
    </row>
    <row r="247" spans="1:22" x14ac:dyDescent="0.25">
      <c r="A247" s="2">
        <v>246</v>
      </c>
      <c r="B247" s="1">
        <v>44250</v>
      </c>
      <c r="C247" s="1" t="str">
        <f t="shared" si="21"/>
        <v>Weekday</v>
      </c>
      <c r="D247" t="s">
        <v>15</v>
      </c>
      <c r="E247" t="str">
        <f t="shared" si="22"/>
        <v>Other</v>
      </c>
      <c r="F247" t="s">
        <v>14</v>
      </c>
      <c r="G247">
        <v>127823</v>
      </c>
      <c r="H247">
        <v>241000</v>
      </c>
      <c r="I247">
        <v>12581.6</v>
      </c>
      <c r="J247">
        <v>1205</v>
      </c>
      <c r="K247">
        <v>24</v>
      </c>
      <c r="L247">
        <v>3</v>
      </c>
      <c r="M247">
        <f>IFERROR(Marketing_Data[[#This Row],[leads]]/Marketing_Data[[#This Row],[clicks]],0)</f>
        <v>1.9917012448132779E-2</v>
      </c>
      <c r="N247">
        <f>IFERROR(Marketing_Data[[#This Row],[clicks]]/Marketing_Data[[#This Row],[impressions]],0)</f>
        <v>5.0000000000000001E-3</v>
      </c>
      <c r="O247">
        <f>IFERROR(Marketing_Data[[#This Row],[orders]]/Marketing_Data[[#This Row],[leads]],0)</f>
        <v>0.125</v>
      </c>
      <c r="P247">
        <f>IFERROR(Marketing_Data[[#This Row],[revenue]]/Marketing_Data[[#This Row],[orders]],0)</f>
        <v>2981</v>
      </c>
      <c r="Q247">
        <f t="shared" si="23"/>
        <v>10.441161825726141</v>
      </c>
      <c r="R247">
        <f t="shared" si="24"/>
        <v>524.23333333333335</v>
      </c>
      <c r="S247">
        <f t="shared" si="25"/>
        <v>4193.8666666666668</v>
      </c>
      <c r="T247">
        <f t="shared" si="26"/>
        <v>-3638.6000000000004</v>
      </c>
      <c r="U247">
        <f t="shared" si="27"/>
        <v>-0.2892001017358683</v>
      </c>
      <c r="V247">
        <v>8943</v>
      </c>
    </row>
    <row r="248" spans="1:22" x14ac:dyDescent="0.25">
      <c r="A248" s="2">
        <v>247</v>
      </c>
      <c r="B248" s="1">
        <v>44250</v>
      </c>
      <c r="C248" s="1" t="str">
        <f t="shared" si="21"/>
        <v>Weekday</v>
      </c>
      <c r="D248" t="s">
        <v>16</v>
      </c>
      <c r="E248" t="str">
        <f t="shared" si="22"/>
        <v>Other</v>
      </c>
      <c r="F248" t="s">
        <v>17</v>
      </c>
      <c r="G248">
        <v>10934</v>
      </c>
      <c r="H248">
        <v>297609</v>
      </c>
      <c r="I248">
        <v>16343</v>
      </c>
      <c r="J248">
        <v>2246</v>
      </c>
      <c r="K248">
        <v>45</v>
      </c>
      <c r="L248">
        <v>8</v>
      </c>
      <c r="M248">
        <f>IFERROR(Marketing_Data[[#This Row],[leads]]/Marketing_Data[[#This Row],[clicks]],0)</f>
        <v>2.0035618878005344E-2</v>
      </c>
      <c r="N248">
        <f>IFERROR(Marketing_Data[[#This Row],[clicks]]/Marketing_Data[[#This Row],[impressions]],0)</f>
        <v>7.5468147804669886E-3</v>
      </c>
      <c r="O248">
        <f>IFERROR(Marketing_Data[[#This Row],[orders]]/Marketing_Data[[#This Row],[leads]],0)</f>
        <v>0.17777777777777778</v>
      </c>
      <c r="P248">
        <f>IFERROR(Marketing_Data[[#This Row],[revenue]]/Marketing_Data[[#This Row],[orders]],0)</f>
        <v>7981</v>
      </c>
      <c r="Q248">
        <f t="shared" si="23"/>
        <v>7.2764915405164734</v>
      </c>
      <c r="R248">
        <f t="shared" si="24"/>
        <v>363.17777777777781</v>
      </c>
      <c r="S248">
        <f t="shared" si="25"/>
        <v>2042.875</v>
      </c>
      <c r="T248">
        <f t="shared" si="26"/>
        <v>47505</v>
      </c>
      <c r="U248">
        <f t="shared" si="27"/>
        <v>2.9067490668787861</v>
      </c>
      <c r="V248">
        <v>63848</v>
      </c>
    </row>
    <row r="249" spans="1:22" x14ac:dyDescent="0.25">
      <c r="A249" s="2">
        <v>248</v>
      </c>
      <c r="B249" s="1">
        <v>44250</v>
      </c>
      <c r="C249" s="1" t="str">
        <f t="shared" si="21"/>
        <v>Weekday</v>
      </c>
      <c r="D249" t="s">
        <v>18</v>
      </c>
      <c r="E249" t="str">
        <f t="shared" si="22"/>
        <v>Tier 1</v>
      </c>
      <c r="F249" t="s">
        <v>12</v>
      </c>
      <c r="G249">
        <v>9034945</v>
      </c>
      <c r="H249">
        <v>536236</v>
      </c>
      <c r="I249">
        <v>557.25</v>
      </c>
      <c r="J249">
        <v>1349</v>
      </c>
      <c r="K249">
        <v>1</v>
      </c>
      <c r="L249">
        <v>0</v>
      </c>
      <c r="M249">
        <f>IFERROR(Marketing_Data[[#This Row],[leads]]/Marketing_Data[[#This Row],[clicks]],0)</f>
        <v>7.4128984432913266E-4</v>
      </c>
      <c r="N249">
        <f>IFERROR(Marketing_Data[[#This Row],[clicks]]/Marketing_Data[[#This Row],[impressions]],0)</f>
        <v>2.5156833931328742E-3</v>
      </c>
      <c r="O249">
        <f>IFERROR(Marketing_Data[[#This Row],[orders]]/Marketing_Data[[#This Row],[leads]],0)</f>
        <v>0</v>
      </c>
      <c r="P249">
        <f>IFERROR(Marketing_Data[[#This Row],[revenue]]/Marketing_Data[[#This Row],[orders]],0)</f>
        <v>0</v>
      </c>
      <c r="Q249">
        <f t="shared" si="23"/>
        <v>0.41308376575240918</v>
      </c>
      <c r="R249">
        <f t="shared" si="24"/>
        <v>557.25</v>
      </c>
      <c r="S249">
        <f t="shared" si="25"/>
        <v>0</v>
      </c>
      <c r="T249">
        <f t="shared" si="26"/>
        <v>-557.25</v>
      </c>
      <c r="U249">
        <f t="shared" si="27"/>
        <v>-1</v>
      </c>
      <c r="V249">
        <v>0</v>
      </c>
    </row>
    <row r="250" spans="1:22" x14ac:dyDescent="0.25">
      <c r="A250" s="2">
        <v>249</v>
      </c>
      <c r="B250" s="1">
        <v>44250</v>
      </c>
      <c r="C250" s="1" t="str">
        <f t="shared" si="21"/>
        <v>Weekday</v>
      </c>
      <c r="D250" t="s">
        <v>19</v>
      </c>
      <c r="E250" t="str">
        <f t="shared" si="22"/>
        <v>Tier 2</v>
      </c>
      <c r="F250" t="s">
        <v>12</v>
      </c>
      <c r="G250">
        <v>983498</v>
      </c>
      <c r="H250">
        <v>512000</v>
      </c>
      <c r="I250">
        <v>4285.4399999999996</v>
      </c>
      <c r="J250">
        <v>2560</v>
      </c>
      <c r="K250">
        <v>51</v>
      </c>
      <c r="L250">
        <v>2</v>
      </c>
      <c r="M250">
        <f>IFERROR(Marketing_Data[[#This Row],[leads]]/Marketing_Data[[#This Row],[clicks]],0)</f>
        <v>1.9921874999999999E-2</v>
      </c>
      <c r="N250">
        <f>IFERROR(Marketing_Data[[#This Row],[clicks]]/Marketing_Data[[#This Row],[impressions]],0)</f>
        <v>5.0000000000000001E-3</v>
      </c>
      <c r="O250">
        <f>IFERROR(Marketing_Data[[#This Row],[orders]]/Marketing_Data[[#This Row],[leads]],0)</f>
        <v>3.9215686274509803E-2</v>
      </c>
      <c r="P250">
        <f>IFERROR(Marketing_Data[[#This Row],[revenue]]/Marketing_Data[[#This Row],[orders]],0)</f>
        <v>1467</v>
      </c>
      <c r="Q250">
        <f t="shared" si="23"/>
        <v>1.6739999999999999</v>
      </c>
      <c r="R250">
        <f t="shared" si="24"/>
        <v>84.028235294117636</v>
      </c>
      <c r="S250">
        <f t="shared" si="25"/>
        <v>2142.7199999999998</v>
      </c>
      <c r="T250">
        <f t="shared" si="26"/>
        <v>-1351.4399999999996</v>
      </c>
      <c r="U250">
        <f t="shared" si="27"/>
        <v>-0.31535618279569888</v>
      </c>
      <c r="V250">
        <v>2934</v>
      </c>
    </row>
    <row r="251" spans="1:22" x14ac:dyDescent="0.25">
      <c r="A251" s="2">
        <v>250</v>
      </c>
      <c r="B251" s="1">
        <v>44250</v>
      </c>
      <c r="C251" s="1" t="str">
        <f t="shared" si="21"/>
        <v>Weekday</v>
      </c>
      <c r="D251" t="s">
        <v>20</v>
      </c>
      <c r="E251" t="str">
        <f t="shared" si="22"/>
        <v>Other</v>
      </c>
      <c r="F251" t="s">
        <v>12</v>
      </c>
      <c r="G251">
        <v>4387490</v>
      </c>
      <c r="H251">
        <v>4908</v>
      </c>
      <c r="I251">
        <v>1238.0899999999999</v>
      </c>
      <c r="J251">
        <v>155</v>
      </c>
      <c r="K251">
        <v>3</v>
      </c>
      <c r="L251">
        <v>1</v>
      </c>
      <c r="M251">
        <f>IFERROR(Marketing_Data[[#This Row],[leads]]/Marketing_Data[[#This Row],[clicks]],0)</f>
        <v>1.935483870967742E-2</v>
      </c>
      <c r="N251">
        <f>IFERROR(Marketing_Data[[#This Row],[clicks]]/Marketing_Data[[#This Row],[impressions]],0)</f>
        <v>3.1581092094539527E-2</v>
      </c>
      <c r="O251">
        <f>IFERROR(Marketing_Data[[#This Row],[orders]]/Marketing_Data[[#This Row],[leads]],0)</f>
        <v>0.33333333333333331</v>
      </c>
      <c r="P251">
        <f>IFERROR(Marketing_Data[[#This Row],[revenue]]/Marketing_Data[[#This Row],[orders]],0)</f>
        <v>5265</v>
      </c>
      <c r="Q251">
        <f t="shared" si="23"/>
        <v>7.9876774193548385</v>
      </c>
      <c r="R251">
        <f t="shared" si="24"/>
        <v>412.69666666666666</v>
      </c>
      <c r="S251">
        <f t="shared" si="25"/>
        <v>1238.0899999999999</v>
      </c>
      <c r="T251">
        <f t="shared" si="26"/>
        <v>4026.91</v>
      </c>
      <c r="U251">
        <f t="shared" si="27"/>
        <v>3.2525179914222715</v>
      </c>
      <c r="V251">
        <v>5265</v>
      </c>
    </row>
    <row r="252" spans="1:22" x14ac:dyDescent="0.25">
      <c r="A252" s="2">
        <v>251</v>
      </c>
      <c r="B252" s="1">
        <v>44250</v>
      </c>
      <c r="C252" s="1" t="str">
        <f t="shared" si="21"/>
        <v>Weekday</v>
      </c>
      <c r="D252" t="s">
        <v>21</v>
      </c>
      <c r="E252" t="str">
        <f t="shared" si="22"/>
        <v>Other</v>
      </c>
      <c r="F252" t="s">
        <v>12</v>
      </c>
      <c r="G252">
        <v>544756</v>
      </c>
      <c r="H252">
        <v>60800</v>
      </c>
      <c r="I252">
        <v>16078.6</v>
      </c>
      <c r="J252">
        <v>608</v>
      </c>
      <c r="K252">
        <v>12</v>
      </c>
      <c r="L252">
        <v>2</v>
      </c>
      <c r="M252">
        <f>IFERROR(Marketing_Data[[#This Row],[leads]]/Marketing_Data[[#This Row],[clicks]],0)</f>
        <v>1.9736842105263157E-2</v>
      </c>
      <c r="N252">
        <f>IFERROR(Marketing_Data[[#This Row],[clicks]]/Marketing_Data[[#This Row],[impressions]],0)</f>
        <v>0.01</v>
      </c>
      <c r="O252">
        <f>IFERROR(Marketing_Data[[#This Row],[orders]]/Marketing_Data[[#This Row],[leads]],0)</f>
        <v>0.16666666666666666</v>
      </c>
      <c r="P252">
        <f>IFERROR(Marketing_Data[[#This Row],[revenue]]/Marketing_Data[[#This Row],[orders]],0)</f>
        <v>1360</v>
      </c>
      <c r="Q252">
        <f t="shared" si="23"/>
        <v>26.445065789473684</v>
      </c>
      <c r="R252">
        <f t="shared" si="24"/>
        <v>1339.8833333333334</v>
      </c>
      <c r="S252">
        <f t="shared" si="25"/>
        <v>8039.3</v>
      </c>
      <c r="T252">
        <f t="shared" si="26"/>
        <v>-13358.6</v>
      </c>
      <c r="U252">
        <f t="shared" si="27"/>
        <v>-0.83083104250370055</v>
      </c>
      <c r="V252">
        <v>2720</v>
      </c>
    </row>
    <row r="253" spans="1:22" x14ac:dyDescent="0.25">
      <c r="A253" s="2">
        <v>252</v>
      </c>
      <c r="B253" s="1">
        <v>44250</v>
      </c>
      <c r="C253" s="1" t="str">
        <f t="shared" si="21"/>
        <v>Weekday</v>
      </c>
      <c r="D253" t="s">
        <v>22</v>
      </c>
      <c r="E253" t="str">
        <f t="shared" si="22"/>
        <v>Other</v>
      </c>
      <c r="F253" t="s">
        <v>17</v>
      </c>
      <c r="G253">
        <v>374754</v>
      </c>
      <c r="H253">
        <v>117218</v>
      </c>
      <c r="I253">
        <v>15435</v>
      </c>
      <c r="J253">
        <v>1500</v>
      </c>
      <c r="K253">
        <v>31</v>
      </c>
      <c r="L253">
        <v>4</v>
      </c>
      <c r="M253">
        <f>IFERROR(Marketing_Data[[#This Row],[leads]]/Marketing_Data[[#This Row],[clicks]],0)</f>
        <v>2.0666666666666667E-2</v>
      </c>
      <c r="N253">
        <f>IFERROR(Marketing_Data[[#This Row],[clicks]]/Marketing_Data[[#This Row],[impressions]],0)</f>
        <v>1.2796669453496903E-2</v>
      </c>
      <c r="O253">
        <f>IFERROR(Marketing_Data[[#This Row],[orders]]/Marketing_Data[[#This Row],[leads]],0)</f>
        <v>0.12903225806451613</v>
      </c>
      <c r="P253">
        <f>IFERROR(Marketing_Data[[#This Row],[revenue]]/Marketing_Data[[#This Row],[orders]],0)</f>
        <v>4454</v>
      </c>
      <c r="Q253">
        <f t="shared" si="23"/>
        <v>10.29</v>
      </c>
      <c r="R253">
        <f t="shared" si="24"/>
        <v>497.90322580645159</v>
      </c>
      <c r="S253">
        <f t="shared" si="25"/>
        <v>3858.75</v>
      </c>
      <c r="T253">
        <f t="shared" si="26"/>
        <v>2381</v>
      </c>
      <c r="U253">
        <f t="shared" si="27"/>
        <v>0.15425979915775834</v>
      </c>
      <c r="V253">
        <v>17816</v>
      </c>
    </row>
    <row r="254" spans="1:22" x14ac:dyDescent="0.25">
      <c r="A254" s="2">
        <v>253</v>
      </c>
      <c r="B254" s="1">
        <v>44250</v>
      </c>
      <c r="C254" s="1" t="str">
        <f t="shared" si="21"/>
        <v>Weekday</v>
      </c>
      <c r="D254" t="s">
        <v>23</v>
      </c>
      <c r="E254" t="str">
        <f t="shared" si="22"/>
        <v>Other</v>
      </c>
      <c r="F254" t="s">
        <v>24</v>
      </c>
      <c r="G254">
        <v>39889</v>
      </c>
      <c r="H254">
        <v>654544</v>
      </c>
      <c r="I254">
        <v>16706.400000000001</v>
      </c>
      <c r="J254">
        <v>2099</v>
      </c>
      <c r="K254">
        <v>42</v>
      </c>
      <c r="L254">
        <v>6</v>
      </c>
      <c r="M254">
        <f>IFERROR(Marketing_Data[[#This Row],[leads]]/Marketing_Data[[#This Row],[clicks]],0)</f>
        <v>2.0009528346831826E-2</v>
      </c>
      <c r="N254">
        <f>IFERROR(Marketing_Data[[#This Row],[clicks]]/Marketing_Data[[#This Row],[impressions]],0)</f>
        <v>3.2068126818059596E-3</v>
      </c>
      <c r="O254">
        <f>IFERROR(Marketing_Data[[#This Row],[orders]]/Marketing_Data[[#This Row],[leads]],0)</f>
        <v>0.14285714285714285</v>
      </c>
      <c r="P254">
        <f>IFERROR(Marketing_Data[[#This Row],[revenue]]/Marketing_Data[[#This Row],[orders]],0)</f>
        <v>3981</v>
      </c>
      <c r="Q254">
        <f t="shared" si="23"/>
        <v>7.9592186755597911</v>
      </c>
      <c r="R254">
        <f t="shared" si="24"/>
        <v>397.7714285714286</v>
      </c>
      <c r="S254">
        <f t="shared" si="25"/>
        <v>2784.4</v>
      </c>
      <c r="T254">
        <f t="shared" si="26"/>
        <v>7179.5999999999985</v>
      </c>
      <c r="U254">
        <f t="shared" si="27"/>
        <v>0.42975147248958473</v>
      </c>
      <c r="V254">
        <v>23886</v>
      </c>
    </row>
    <row r="255" spans="1:22" x14ac:dyDescent="0.25">
      <c r="A255" s="2">
        <v>254</v>
      </c>
      <c r="B255" s="1">
        <v>44251</v>
      </c>
      <c r="C255" s="1" t="str">
        <f t="shared" si="21"/>
        <v>Weekday</v>
      </c>
      <c r="D255" t="s">
        <v>11</v>
      </c>
      <c r="E255" t="str">
        <f t="shared" si="22"/>
        <v>Tier 1</v>
      </c>
      <c r="F255" t="s">
        <v>12</v>
      </c>
      <c r="G255">
        <v>349043</v>
      </c>
      <c r="H255">
        <v>479596</v>
      </c>
      <c r="I255">
        <v>94564.2</v>
      </c>
      <c r="J255">
        <v>2408</v>
      </c>
      <c r="K255">
        <v>93</v>
      </c>
      <c r="L255">
        <v>15</v>
      </c>
      <c r="M255">
        <f>IFERROR(Marketing_Data[[#This Row],[leads]]/Marketing_Data[[#This Row],[clicks]],0)</f>
        <v>3.8621262458471764E-2</v>
      </c>
      <c r="N255">
        <f>IFERROR(Marketing_Data[[#This Row],[clicks]]/Marketing_Data[[#This Row],[impressions]],0)</f>
        <v>5.0208925845920318E-3</v>
      </c>
      <c r="O255">
        <f>IFERROR(Marketing_Data[[#This Row],[orders]]/Marketing_Data[[#This Row],[leads]],0)</f>
        <v>0.16129032258064516</v>
      </c>
      <c r="P255">
        <f>IFERROR(Marketing_Data[[#This Row],[revenue]]/Marketing_Data[[#This Row],[orders]],0)</f>
        <v>5455</v>
      </c>
      <c r="Q255">
        <f t="shared" si="23"/>
        <v>39.270847176079734</v>
      </c>
      <c r="R255">
        <f t="shared" si="24"/>
        <v>1016.8193548387096</v>
      </c>
      <c r="S255">
        <f t="shared" si="25"/>
        <v>6304.28</v>
      </c>
      <c r="T255">
        <f t="shared" si="26"/>
        <v>-12739.199999999997</v>
      </c>
      <c r="U255">
        <f t="shared" si="27"/>
        <v>-0.13471482865608758</v>
      </c>
      <c r="V255">
        <v>81825</v>
      </c>
    </row>
    <row r="256" spans="1:22" x14ac:dyDescent="0.25">
      <c r="A256" s="2">
        <v>255</v>
      </c>
      <c r="B256" s="1">
        <v>44251</v>
      </c>
      <c r="C256" s="1" t="str">
        <f t="shared" si="21"/>
        <v>Weekday</v>
      </c>
      <c r="D256" t="s">
        <v>25</v>
      </c>
      <c r="E256" t="str">
        <f t="shared" si="22"/>
        <v>Tier 2</v>
      </c>
      <c r="F256" t="s">
        <v>12</v>
      </c>
      <c r="G256">
        <v>348934</v>
      </c>
      <c r="H256">
        <v>395127</v>
      </c>
      <c r="I256">
        <v>44347.199999999997</v>
      </c>
      <c r="J256">
        <v>3297</v>
      </c>
      <c r="K256">
        <v>66</v>
      </c>
      <c r="L256">
        <v>7</v>
      </c>
      <c r="M256">
        <f>IFERROR(Marketing_Data[[#This Row],[leads]]/Marketing_Data[[#This Row],[clicks]],0)</f>
        <v>2.0018198362147407E-2</v>
      </c>
      <c r="N256">
        <f>IFERROR(Marketing_Data[[#This Row],[clicks]]/Marketing_Data[[#This Row],[impressions]],0)</f>
        <v>8.3441526395310883E-3</v>
      </c>
      <c r="O256">
        <f>IFERROR(Marketing_Data[[#This Row],[orders]]/Marketing_Data[[#This Row],[leads]],0)</f>
        <v>0.10606060606060606</v>
      </c>
      <c r="P256">
        <f>IFERROR(Marketing_Data[[#This Row],[revenue]]/Marketing_Data[[#This Row],[orders]],0)</f>
        <v>4981</v>
      </c>
      <c r="Q256">
        <f t="shared" si="23"/>
        <v>13.450773430391264</v>
      </c>
      <c r="R256">
        <f t="shared" si="24"/>
        <v>671.92727272727268</v>
      </c>
      <c r="S256">
        <f t="shared" si="25"/>
        <v>6335.3142857142857</v>
      </c>
      <c r="T256">
        <f t="shared" si="26"/>
        <v>-9480.1999999999971</v>
      </c>
      <c r="U256">
        <f t="shared" si="27"/>
        <v>-0.21377223364722006</v>
      </c>
      <c r="V256">
        <v>34867</v>
      </c>
    </row>
    <row r="257" spans="1:22" x14ac:dyDescent="0.25">
      <c r="A257" s="2">
        <v>256</v>
      </c>
      <c r="B257" s="1">
        <v>44251</v>
      </c>
      <c r="C257" s="1" t="str">
        <f t="shared" si="21"/>
        <v>Weekday</v>
      </c>
      <c r="D257" t="s">
        <v>13</v>
      </c>
      <c r="E257" t="str">
        <f t="shared" si="22"/>
        <v>Other</v>
      </c>
      <c r="F257" t="s">
        <v>14</v>
      </c>
      <c r="G257">
        <v>89459845</v>
      </c>
      <c r="H257">
        <v>45150</v>
      </c>
      <c r="I257">
        <v>14306.2</v>
      </c>
      <c r="J257">
        <v>903</v>
      </c>
      <c r="K257">
        <v>18</v>
      </c>
      <c r="L257">
        <v>3</v>
      </c>
      <c r="M257">
        <f>IFERROR(Marketing_Data[[#This Row],[leads]]/Marketing_Data[[#This Row],[clicks]],0)</f>
        <v>1.9933554817275746E-2</v>
      </c>
      <c r="N257">
        <f>IFERROR(Marketing_Data[[#This Row],[clicks]]/Marketing_Data[[#This Row],[impressions]],0)</f>
        <v>0.02</v>
      </c>
      <c r="O257">
        <f>IFERROR(Marketing_Data[[#This Row],[orders]]/Marketing_Data[[#This Row],[leads]],0)</f>
        <v>0.16666666666666666</v>
      </c>
      <c r="P257">
        <f>IFERROR(Marketing_Data[[#This Row],[revenue]]/Marketing_Data[[#This Row],[orders]],0)</f>
        <v>7981</v>
      </c>
      <c r="Q257">
        <f t="shared" si="23"/>
        <v>15.842967884828351</v>
      </c>
      <c r="R257">
        <f t="shared" si="24"/>
        <v>794.78888888888889</v>
      </c>
      <c r="S257">
        <f t="shared" si="25"/>
        <v>4768.7333333333336</v>
      </c>
      <c r="T257">
        <f t="shared" si="26"/>
        <v>9636.7999999999993</v>
      </c>
      <c r="U257">
        <f t="shared" si="27"/>
        <v>0.67361004319805395</v>
      </c>
      <c r="V257">
        <v>23943</v>
      </c>
    </row>
    <row r="258" spans="1:22" x14ac:dyDescent="0.25">
      <c r="A258" s="2">
        <v>257</v>
      </c>
      <c r="B258" s="1">
        <v>44251</v>
      </c>
      <c r="C258" s="1" t="str">
        <f t="shared" ref="C258:C309" si="28">IF(WEEKDAY(B258,2)&gt;5,"Weekend","Weekday")</f>
        <v>Weekday</v>
      </c>
      <c r="D258" t="s">
        <v>15</v>
      </c>
      <c r="E258" t="str">
        <f t="shared" ref="E258:E309" si="29">IF(ISNUMBER(SEARCH("tier1",D258)),"Tier 1",IF(ISNUMBER(SEARCH("tier2",D258)),"Tier 2","Other"))</f>
        <v>Other</v>
      </c>
      <c r="F258" t="s">
        <v>14</v>
      </c>
      <c r="G258">
        <v>127823</v>
      </c>
      <c r="H258">
        <v>291441</v>
      </c>
      <c r="I258">
        <v>22357.599999999999</v>
      </c>
      <c r="J258">
        <v>2408</v>
      </c>
      <c r="K258">
        <v>52</v>
      </c>
      <c r="L258">
        <v>5</v>
      </c>
      <c r="M258">
        <f>IFERROR(Marketing_Data[[#This Row],[leads]]/Marketing_Data[[#This Row],[clicks]],0)</f>
        <v>2.1594684385382059E-2</v>
      </c>
      <c r="N258">
        <f>IFERROR(Marketing_Data[[#This Row],[clicks]]/Marketing_Data[[#This Row],[impressions]],0)</f>
        <v>8.262392731290381E-3</v>
      </c>
      <c r="O258">
        <f>IFERROR(Marketing_Data[[#This Row],[orders]]/Marketing_Data[[#This Row],[leads]],0)</f>
        <v>9.6153846153846159E-2</v>
      </c>
      <c r="P258">
        <f>IFERROR(Marketing_Data[[#This Row],[revenue]]/Marketing_Data[[#This Row],[orders]],0)</f>
        <v>3812</v>
      </c>
      <c r="Q258">
        <f t="shared" ref="Q258:Q309" si="30">IFERROR(I258/J258,0)</f>
        <v>9.2847176079734215</v>
      </c>
      <c r="R258">
        <f t="shared" ref="R258:R309" si="31">IFERROR(I258/K258,0)</f>
        <v>429.95384615384614</v>
      </c>
      <c r="S258">
        <f t="shared" ref="S258:S309" si="32">IFERROR(I258/L258,0)</f>
        <v>4471.5199999999995</v>
      </c>
      <c r="T258">
        <f t="shared" ref="T258:T309" si="33">V258-I258</f>
        <v>-3297.5999999999985</v>
      </c>
      <c r="U258">
        <f t="shared" ref="U258:U309" si="34">IFERROR((V258-I258)/I258,0)</f>
        <v>-0.14749346978208747</v>
      </c>
      <c r="V258">
        <v>19060</v>
      </c>
    </row>
    <row r="259" spans="1:22" x14ac:dyDescent="0.25">
      <c r="A259" s="2">
        <v>258</v>
      </c>
      <c r="B259" s="1">
        <v>44251</v>
      </c>
      <c r="C259" s="1" t="str">
        <f t="shared" si="28"/>
        <v>Weekday</v>
      </c>
      <c r="D259" t="s">
        <v>16</v>
      </c>
      <c r="E259" t="str">
        <f t="shared" si="29"/>
        <v>Other</v>
      </c>
      <c r="F259" t="s">
        <v>17</v>
      </c>
      <c r="G259">
        <v>10934</v>
      </c>
      <c r="H259">
        <v>409320</v>
      </c>
      <c r="I259">
        <v>22944.3</v>
      </c>
      <c r="J259">
        <v>4508</v>
      </c>
      <c r="K259">
        <v>65</v>
      </c>
      <c r="L259">
        <v>14</v>
      </c>
      <c r="M259">
        <f>IFERROR(Marketing_Data[[#This Row],[leads]]/Marketing_Data[[#This Row],[clicks]],0)</f>
        <v>1.4418811002661935E-2</v>
      </c>
      <c r="N259">
        <f>IFERROR(Marketing_Data[[#This Row],[clicks]]/Marketing_Data[[#This Row],[impressions]],0)</f>
        <v>1.1013388058242939E-2</v>
      </c>
      <c r="O259">
        <f>IFERROR(Marketing_Data[[#This Row],[orders]]/Marketing_Data[[#This Row],[leads]],0)</f>
        <v>0.2153846153846154</v>
      </c>
      <c r="P259">
        <f>IFERROR(Marketing_Data[[#This Row],[revenue]]/Marketing_Data[[#This Row],[orders]],0)</f>
        <v>7981</v>
      </c>
      <c r="Q259">
        <f t="shared" si="30"/>
        <v>5.0896850044365571</v>
      </c>
      <c r="R259">
        <f t="shared" si="31"/>
        <v>352.98923076923074</v>
      </c>
      <c r="S259">
        <f t="shared" si="32"/>
        <v>1638.8785714285714</v>
      </c>
      <c r="T259">
        <f t="shared" si="33"/>
        <v>88789.7</v>
      </c>
      <c r="U259">
        <f t="shared" si="34"/>
        <v>3.8697933691592246</v>
      </c>
      <c r="V259">
        <v>111734</v>
      </c>
    </row>
    <row r="260" spans="1:22" x14ac:dyDescent="0.25">
      <c r="A260" s="2">
        <v>259</v>
      </c>
      <c r="B260" s="1">
        <v>44251</v>
      </c>
      <c r="C260" s="1" t="str">
        <f t="shared" si="28"/>
        <v>Weekday</v>
      </c>
      <c r="D260" t="s">
        <v>18</v>
      </c>
      <c r="E260" t="str">
        <f t="shared" si="29"/>
        <v>Tier 1</v>
      </c>
      <c r="F260" t="s">
        <v>12</v>
      </c>
      <c r="G260">
        <v>9034945</v>
      </c>
      <c r="H260">
        <v>869482</v>
      </c>
      <c r="I260">
        <v>23908.400000000001</v>
      </c>
      <c r="J260">
        <v>2703</v>
      </c>
      <c r="K260">
        <v>42</v>
      </c>
      <c r="L260">
        <v>7</v>
      </c>
      <c r="M260">
        <f>IFERROR(Marketing_Data[[#This Row],[leads]]/Marketing_Data[[#This Row],[clicks]],0)</f>
        <v>1.5538290788013319E-2</v>
      </c>
      <c r="N260">
        <f>IFERROR(Marketing_Data[[#This Row],[clicks]]/Marketing_Data[[#This Row],[impressions]],0)</f>
        <v>3.1087475071364329E-3</v>
      </c>
      <c r="O260">
        <f>IFERROR(Marketing_Data[[#This Row],[orders]]/Marketing_Data[[#This Row],[leads]],0)</f>
        <v>0.16666666666666666</v>
      </c>
      <c r="P260">
        <f>IFERROR(Marketing_Data[[#This Row],[revenue]]/Marketing_Data[[#This Row],[orders]],0)</f>
        <v>5208</v>
      </c>
      <c r="Q260">
        <f t="shared" si="30"/>
        <v>8.845135035146134</v>
      </c>
      <c r="R260">
        <f t="shared" si="31"/>
        <v>569.24761904761908</v>
      </c>
      <c r="S260">
        <f t="shared" si="32"/>
        <v>3415.4857142857145</v>
      </c>
      <c r="T260">
        <f t="shared" si="33"/>
        <v>12547.599999999999</v>
      </c>
      <c r="U260">
        <f t="shared" si="34"/>
        <v>0.52481972863094128</v>
      </c>
      <c r="V260">
        <v>36456</v>
      </c>
    </row>
    <row r="261" spans="1:22" x14ac:dyDescent="0.25">
      <c r="A261" s="2">
        <v>260</v>
      </c>
      <c r="B261" s="1">
        <v>44251</v>
      </c>
      <c r="C261" s="1" t="str">
        <f t="shared" si="28"/>
        <v>Weekday</v>
      </c>
      <c r="D261" t="s">
        <v>19</v>
      </c>
      <c r="E261" t="str">
        <f t="shared" si="29"/>
        <v>Tier 2</v>
      </c>
      <c r="F261" t="s">
        <v>12</v>
      </c>
      <c r="G261">
        <v>983498</v>
      </c>
      <c r="H261">
        <v>624157</v>
      </c>
      <c r="I261">
        <v>18675</v>
      </c>
      <c r="J261">
        <v>5098</v>
      </c>
      <c r="K261">
        <v>122</v>
      </c>
      <c r="L261">
        <v>6</v>
      </c>
      <c r="M261">
        <f>IFERROR(Marketing_Data[[#This Row],[leads]]/Marketing_Data[[#This Row],[clicks]],0)</f>
        <v>2.39309533150255E-2</v>
      </c>
      <c r="N261">
        <f>IFERROR(Marketing_Data[[#This Row],[clicks]]/Marketing_Data[[#This Row],[impressions]],0)</f>
        <v>8.1678167512340642E-3</v>
      </c>
      <c r="O261">
        <f>IFERROR(Marketing_Data[[#This Row],[orders]]/Marketing_Data[[#This Row],[leads]],0)</f>
        <v>4.9180327868852458E-2</v>
      </c>
      <c r="P261">
        <f>IFERROR(Marketing_Data[[#This Row],[revenue]]/Marketing_Data[[#This Row],[orders]],0)</f>
        <v>1765</v>
      </c>
      <c r="Q261">
        <f t="shared" si="30"/>
        <v>3.6632012553942723</v>
      </c>
      <c r="R261">
        <f t="shared" si="31"/>
        <v>153.07377049180329</v>
      </c>
      <c r="S261">
        <f t="shared" si="32"/>
        <v>3112.5</v>
      </c>
      <c r="T261">
        <f t="shared" si="33"/>
        <v>-8085</v>
      </c>
      <c r="U261">
        <f t="shared" si="34"/>
        <v>-0.43293172690763054</v>
      </c>
      <c r="V261">
        <v>10590</v>
      </c>
    </row>
    <row r="262" spans="1:22" x14ac:dyDescent="0.25">
      <c r="A262" s="2">
        <v>261</v>
      </c>
      <c r="B262" s="1">
        <v>44251</v>
      </c>
      <c r="C262" s="1" t="str">
        <f t="shared" si="28"/>
        <v>Weekday</v>
      </c>
      <c r="D262" t="s">
        <v>20</v>
      </c>
      <c r="E262" t="str">
        <f t="shared" si="29"/>
        <v>Other</v>
      </c>
      <c r="F262" t="s">
        <v>12</v>
      </c>
      <c r="G262">
        <v>4387490</v>
      </c>
      <c r="H262">
        <v>8966</v>
      </c>
      <c r="I262">
        <v>2857.1</v>
      </c>
      <c r="J262">
        <v>297</v>
      </c>
      <c r="K262">
        <v>6</v>
      </c>
      <c r="L262">
        <v>1</v>
      </c>
      <c r="M262">
        <f>IFERROR(Marketing_Data[[#This Row],[leads]]/Marketing_Data[[#This Row],[clicks]],0)</f>
        <v>2.0202020202020204E-2</v>
      </c>
      <c r="N262">
        <f>IFERROR(Marketing_Data[[#This Row],[clicks]]/Marketing_Data[[#This Row],[impressions]],0)</f>
        <v>3.3125139415569931E-2</v>
      </c>
      <c r="O262">
        <f>IFERROR(Marketing_Data[[#This Row],[orders]]/Marketing_Data[[#This Row],[leads]],0)</f>
        <v>0.16666666666666666</v>
      </c>
      <c r="P262">
        <f>IFERROR(Marketing_Data[[#This Row],[revenue]]/Marketing_Data[[#This Row],[orders]],0)</f>
        <v>4981</v>
      </c>
      <c r="Q262">
        <f t="shared" si="30"/>
        <v>9.619865319865319</v>
      </c>
      <c r="R262">
        <f t="shared" si="31"/>
        <v>476.18333333333334</v>
      </c>
      <c r="S262">
        <f t="shared" si="32"/>
        <v>2857.1</v>
      </c>
      <c r="T262">
        <f t="shared" si="33"/>
        <v>2123.9</v>
      </c>
      <c r="U262">
        <f t="shared" si="34"/>
        <v>0.7433761506422597</v>
      </c>
      <c r="V262">
        <v>4981</v>
      </c>
    </row>
    <row r="263" spans="1:22" x14ac:dyDescent="0.25">
      <c r="A263" s="2">
        <v>262</v>
      </c>
      <c r="B263" s="1">
        <v>44251</v>
      </c>
      <c r="C263" s="1" t="str">
        <f t="shared" si="28"/>
        <v>Weekday</v>
      </c>
      <c r="D263" t="s">
        <v>21</v>
      </c>
      <c r="E263" t="str">
        <f t="shared" si="29"/>
        <v>Other</v>
      </c>
      <c r="F263" t="s">
        <v>12</v>
      </c>
      <c r="G263">
        <v>544756</v>
      </c>
      <c r="H263">
        <v>148794</v>
      </c>
      <c r="I263">
        <v>48796.6</v>
      </c>
      <c r="J263">
        <v>1196</v>
      </c>
      <c r="K263">
        <v>38</v>
      </c>
      <c r="L263">
        <v>6</v>
      </c>
      <c r="M263">
        <f>IFERROR(Marketing_Data[[#This Row],[leads]]/Marketing_Data[[#This Row],[clicks]],0)</f>
        <v>3.177257525083612E-2</v>
      </c>
      <c r="N263">
        <f>IFERROR(Marketing_Data[[#This Row],[clicks]]/Marketing_Data[[#This Row],[impressions]],0)</f>
        <v>8.0379585198327892E-3</v>
      </c>
      <c r="O263">
        <f>IFERROR(Marketing_Data[[#This Row],[orders]]/Marketing_Data[[#This Row],[leads]],0)</f>
        <v>0.15789473684210525</v>
      </c>
      <c r="P263">
        <f>IFERROR(Marketing_Data[[#This Row],[revenue]]/Marketing_Data[[#This Row],[orders]],0)</f>
        <v>1363</v>
      </c>
      <c r="Q263">
        <f t="shared" si="30"/>
        <v>40.799832775919732</v>
      </c>
      <c r="R263">
        <f t="shared" si="31"/>
        <v>1284.121052631579</v>
      </c>
      <c r="S263">
        <f t="shared" si="32"/>
        <v>8132.7666666666664</v>
      </c>
      <c r="T263">
        <f t="shared" si="33"/>
        <v>-40618.6</v>
      </c>
      <c r="U263">
        <f t="shared" si="34"/>
        <v>-0.83240635618055359</v>
      </c>
      <c r="V263">
        <v>8178</v>
      </c>
    </row>
    <row r="264" spans="1:22" x14ac:dyDescent="0.25">
      <c r="A264" s="2">
        <v>263</v>
      </c>
      <c r="B264" s="1">
        <v>44251</v>
      </c>
      <c r="C264" s="1" t="str">
        <f t="shared" si="28"/>
        <v>Weekday</v>
      </c>
      <c r="D264" t="s">
        <v>22</v>
      </c>
      <c r="E264" t="str">
        <f t="shared" si="29"/>
        <v>Other</v>
      </c>
      <c r="F264" t="s">
        <v>17</v>
      </c>
      <c r="G264">
        <v>374754</v>
      </c>
      <c r="H264">
        <v>355802</v>
      </c>
      <c r="I264">
        <v>42311.5</v>
      </c>
      <c r="J264">
        <v>2990</v>
      </c>
      <c r="K264">
        <v>60</v>
      </c>
      <c r="L264">
        <v>9</v>
      </c>
      <c r="M264">
        <f>IFERROR(Marketing_Data[[#This Row],[leads]]/Marketing_Data[[#This Row],[clicks]],0)</f>
        <v>2.0066889632107024E-2</v>
      </c>
      <c r="N264">
        <f>IFERROR(Marketing_Data[[#This Row],[clicks]]/Marketing_Data[[#This Row],[impressions]],0)</f>
        <v>8.4035502892057939E-3</v>
      </c>
      <c r="O264">
        <f>IFERROR(Marketing_Data[[#This Row],[orders]]/Marketing_Data[[#This Row],[leads]],0)</f>
        <v>0.15</v>
      </c>
      <c r="P264">
        <f>IFERROR(Marketing_Data[[#This Row],[revenue]]/Marketing_Data[[#This Row],[orders]],0)</f>
        <v>4981</v>
      </c>
      <c r="Q264">
        <f t="shared" si="30"/>
        <v>14.151003344481605</v>
      </c>
      <c r="R264">
        <f t="shared" si="31"/>
        <v>705.19166666666672</v>
      </c>
      <c r="S264">
        <f t="shared" si="32"/>
        <v>4701.2777777777774</v>
      </c>
      <c r="T264">
        <f t="shared" si="33"/>
        <v>2517.5</v>
      </c>
      <c r="U264">
        <f t="shared" si="34"/>
        <v>5.9499190527397987E-2</v>
      </c>
      <c r="V264">
        <v>44829</v>
      </c>
    </row>
    <row r="265" spans="1:22" x14ac:dyDescent="0.25">
      <c r="A265" s="2">
        <v>264</v>
      </c>
      <c r="B265" s="1">
        <v>44251</v>
      </c>
      <c r="C265" s="1" t="str">
        <f t="shared" si="28"/>
        <v>Weekday</v>
      </c>
      <c r="D265" t="s">
        <v>23</v>
      </c>
      <c r="E265" t="str">
        <f t="shared" si="29"/>
        <v>Other</v>
      </c>
      <c r="F265" t="s">
        <v>24</v>
      </c>
      <c r="G265">
        <v>39889</v>
      </c>
      <c r="H265">
        <v>2770687</v>
      </c>
      <c r="I265">
        <v>34169.9</v>
      </c>
      <c r="J265">
        <v>4205</v>
      </c>
      <c r="K265">
        <v>84</v>
      </c>
      <c r="L265">
        <v>16</v>
      </c>
      <c r="M265">
        <f>IFERROR(Marketing_Data[[#This Row],[leads]]/Marketing_Data[[#This Row],[clicks]],0)</f>
        <v>1.9976218787158145E-2</v>
      </c>
      <c r="N265">
        <f>IFERROR(Marketing_Data[[#This Row],[clicks]]/Marketing_Data[[#This Row],[impressions]],0)</f>
        <v>1.5176741364145427E-3</v>
      </c>
      <c r="O265">
        <f>IFERROR(Marketing_Data[[#This Row],[orders]]/Marketing_Data[[#This Row],[leads]],0)</f>
        <v>0.19047619047619047</v>
      </c>
      <c r="P265">
        <f>IFERROR(Marketing_Data[[#This Row],[revenue]]/Marketing_Data[[#This Row],[orders]],0)</f>
        <v>3981</v>
      </c>
      <c r="Q265">
        <f t="shared" si="30"/>
        <v>8.1260166468489903</v>
      </c>
      <c r="R265">
        <f t="shared" si="31"/>
        <v>406.78452380952382</v>
      </c>
      <c r="S265">
        <f t="shared" si="32"/>
        <v>2135.6187500000001</v>
      </c>
      <c r="T265">
        <f t="shared" si="33"/>
        <v>29526.1</v>
      </c>
      <c r="U265">
        <f t="shared" si="34"/>
        <v>0.86409676352579312</v>
      </c>
      <c r="V265">
        <v>63696</v>
      </c>
    </row>
    <row r="266" spans="1:22" x14ac:dyDescent="0.25">
      <c r="A266" s="2">
        <v>265</v>
      </c>
      <c r="B266" s="1">
        <v>44252</v>
      </c>
      <c r="C266" s="1" t="str">
        <f t="shared" si="28"/>
        <v>Weekday</v>
      </c>
      <c r="D266" t="s">
        <v>11</v>
      </c>
      <c r="E266" t="str">
        <f t="shared" si="29"/>
        <v>Tier 1</v>
      </c>
      <c r="F266" t="s">
        <v>12</v>
      </c>
      <c r="G266">
        <v>349043</v>
      </c>
      <c r="H266">
        <v>94600</v>
      </c>
      <c r="I266">
        <v>11230.2</v>
      </c>
      <c r="J266">
        <v>473</v>
      </c>
      <c r="K266">
        <v>15</v>
      </c>
      <c r="L266">
        <v>2</v>
      </c>
      <c r="M266">
        <f>IFERROR(Marketing_Data[[#This Row],[leads]]/Marketing_Data[[#This Row],[clicks]],0)</f>
        <v>3.1712473572938688E-2</v>
      </c>
      <c r="N266">
        <f>IFERROR(Marketing_Data[[#This Row],[clicks]]/Marketing_Data[[#This Row],[impressions]],0)</f>
        <v>5.0000000000000001E-3</v>
      </c>
      <c r="O266">
        <f>IFERROR(Marketing_Data[[#This Row],[orders]]/Marketing_Data[[#This Row],[leads]],0)</f>
        <v>0.13333333333333333</v>
      </c>
      <c r="P266">
        <f>IFERROR(Marketing_Data[[#This Row],[revenue]]/Marketing_Data[[#This Row],[orders]],0)</f>
        <v>5052</v>
      </c>
      <c r="Q266">
        <f t="shared" si="30"/>
        <v>23.742494714587739</v>
      </c>
      <c r="R266">
        <f t="shared" si="31"/>
        <v>748.68000000000006</v>
      </c>
      <c r="S266">
        <f t="shared" si="32"/>
        <v>5615.1</v>
      </c>
      <c r="T266">
        <f t="shared" si="33"/>
        <v>-1126.2000000000007</v>
      </c>
      <c r="U266">
        <f t="shared" si="34"/>
        <v>-0.10028316503713208</v>
      </c>
      <c r="V266">
        <v>10104</v>
      </c>
    </row>
    <row r="267" spans="1:22" x14ac:dyDescent="0.25">
      <c r="A267" s="2">
        <v>266</v>
      </c>
      <c r="B267" s="1">
        <v>44252</v>
      </c>
      <c r="C267" s="1" t="str">
        <f t="shared" si="28"/>
        <v>Weekday</v>
      </c>
      <c r="D267" t="s">
        <v>25</v>
      </c>
      <c r="E267" t="str">
        <f t="shared" si="29"/>
        <v>Tier 2</v>
      </c>
      <c r="F267" t="s">
        <v>12</v>
      </c>
      <c r="G267">
        <v>348934</v>
      </c>
      <c r="H267">
        <v>131400</v>
      </c>
      <c r="I267">
        <v>10357</v>
      </c>
      <c r="J267">
        <v>657</v>
      </c>
      <c r="K267">
        <v>13</v>
      </c>
      <c r="L267">
        <v>2</v>
      </c>
      <c r="M267">
        <f>IFERROR(Marketing_Data[[#This Row],[leads]]/Marketing_Data[[#This Row],[clicks]],0)</f>
        <v>1.9786910197869101E-2</v>
      </c>
      <c r="N267">
        <f>IFERROR(Marketing_Data[[#This Row],[clicks]]/Marketing_Data[[#This Row],[impressions]],0)</f>
        <v>5.0000000000000001E-3</v>
      </c>
      <c r="O267">
        <f>IFERROR(Marketing_Data[[#This Row],[orders]]/Marketing_Data[[#This Row],[leads]],0)</f>
        <v>0.15384615384615385</v>
      </c>
      <c r="P267">
        <f>IFERROR(Marketing_Data[[#This Row],[revenue]]/Marketing_Data[[#This Row],[orders]],0)</f>
        <v>4981</v>
      </c>
      <c r="Q267">
        <f t="shared" si="30"/>
        <v>15.764079147640791</v>
      </c>
      <c r="R267">
        <f t="shared" si="31"/>
        <v>796.69230769230774</v>
      </c>
      <c r="S267">
        <f t="shared" si="32"/>
        <v>5178.5</v>
      </c>
      <c r="T267">
        <f t="shared" si="33"/>
        <v>-395</v>
      </c>
      <c r="U267">
        <f t="shared" si="34"/>
        <v>-3.8138457082166649E-2</v>
      </c>
      <c r="V267">
        <v>9962</v>
      </c>
    </row>
    <row r="268" spans="1:22" x14ac:dyDescent="0.25">
      <c r="A268" s="2">
        <v>267</v>
      </c>
      <c r="B268" s="1">
        <v>44252</v>
      </c>
      <c r="C268" s="1" t="str">
        <f t="shared" si="28"/>
        <v>Weekday</v>
      </c>
      <c r="D268" t="s">
        <v>13</v>
      </c>
      <c r="E268" t="str">
        <f t="shared" si="29"/>
        <v>Other</v>
      </c>
      <c r="F268" t="s">
        <v>14</v>
      </c>
      <c r="G268">
        <v>89459845</v>
      </c>
      <c r="H268">
        <v>8750</v>
      </c>
      <c r="I268">
        <v>1078.73</v>
      </c>
      <c r="J268">
        <v>175</v>
      </c>
      <c r="K268">
        <v>1</v>
      </c>
      <c r="L268">
        <v>0</v>
      </c>
      <c r="M268">
        <f>IFERROR(Marketing_Data[[#This Row],[leads]]/Marketing_Data[[#This Row],[clicks]],0)</f>
        <v>5.7142857142857143E-3</v>
      </c>
      <c r="N268">
        <f>IFERROR(Marketing_Data[[#This Row],[clicks]]/Marketing_Data[[#This Row],[impressions]],0)</f>
        <v>0.02</v>
      </c>
      <c r="O268">
        <f>IFERROR(Marketing_Data[[#This Row],[orders]]/Marketing_Data[[#This Row],[leads]],0)</f>
        <v>0</v>
      </c>
      <c r="P268">
        <f>IFERROR(Marketing_Data[[#This Row],[revenue]]/Marketing_Data[[#This Row],[orders]],0)</f>
        <v>0</v>
      </c>
      <c r="Q268">
        <f t="shared" si="30"/>
        <v>6.1641714285714286</v>
      </c>
      <c r="R268">
        <f t="shared" si="31"/>
        <v>1078.73</v>
      </c>
      <c r="S268">
        <f t="shared" si="32"/>
        <v>0</v>
      </c>
      <c r="T268">
        <f t="shared" si="33"/>
        <v>-1078.73</v>
      </c>
      <c r="U268">
        <f t="shared" si="34"/>
        <v>-1</v>
      </c>
      <c r="V268">
        <v>0</v>
      </c>
    </row>
    <row r="269" spans="1:22" x14ac:dyDescent="0.25">
      <c r="A269" s="2">
        <v>268</v>
      </c>
      <c r="B269" s="1">
        <v>44252</v>
      </c>
      <c r="C269" s="1" t="str">
        <f t="shared" si="28"/>
        <v>Weekday</v>
      </c>
      <c r="D269" t="s">
        <v>15</v>
      </c>
      <c r="E269" t="str">
        <f t="shared" si="29"/>
        <v>Other</v>
      </c>
      <c r="F269" t="s">
        <v>14</v>
      </c>
      <c r="G269">
        <v>127823</v>
      </c>
      <c r="H269">
        <v>61867</v>
      </c>
      <c r="I269">
        <v>9472.2199999999993</v>
      </c>
      <c r="J269">
        <v>487</v>
      </c>
      <c r="K269">
        <v>19</v>
      </c>
      <c r="L269">
        <v>2</v>
      </c>
      <c r="M269">
        <f>IFERROR(Marketing_Data[[#This Row],[leads]]/Marketing_Data[[#This Row],[clicks]],0)</f>
        <v>3.9014373716632446E-2</v>
      </c>
      <c r="N269">
        <f>IFERROR(Marketing_Data[[#This Row],[clicks]]/Marketing_Data[[#This Row],[impressions]],0)</f>
        <v>7.8717248290688085E-3</v>
      </c>
      <c r="O269">
        <f>IFERROR(Marketing_Data[[#This Row],[orders]]/Marketing_Data[[#This Row],[leads]],0)</f>
        <v>0.10526315789473684</v>
      </c>
      <c r="P269">
        <f>IFERROR(Marketing_Data[[#This Row],[revenue]]/Marketing_Data[[#This Row],[orders]],0)</f>
        <v>2865</v>
      </c>
      <c r="Q269">
        <f t="shared" si="30"/>
        <v>19.450143737166322</v>
      </c>
      <c r="R269">
        <f t="shared" si="31"/>
        <v>498.53789473684208</v>
      </c>
      <c r="S269">
        <f t="shared" si="32"/>
        <v>4736.1099999999997</v>
      </c>
      <c r="T269">
        <f t="shared" si="33"/>
        <v>-3742.2199999999993</v>
      </c>
      <c r="U269">
        <f t="shared" si="34"/>
        <v>-0.39507317186467372</v>
      </c>
      <c r="V269">
        <v>5730</v>
      </c>
    </row>
    <row r="270" spans="1:22" x14ac:dyDescent="0.25">
      <c r="A270" s="2">
        <v>269</v>
      </c>
      <c r="B270" s="1">
        <v>44252</v>
      </c>
      <c r="C270" s="1" t="str">
        <f t="shared" si="28"/>
        <v>Weekday</v>
      </c>
      <c r="D270" t="s">
        <v>16</v>
      </c>
      <c r="E270" t="str">
        <f t="shared" si="29"/>
        <v>Other</v>
      </c>
      <c r="F270" t="s">
        <v>17</v>
      </c>
      <c r="G270">
        <v>10934</v>
      </c>
      <c r="H270">
        <v>94976</v>
      </c>
      <c r="I270">
        <v>9034.91</v>
      </c>
      <c r="J270">
        <v>904</v>
      </c>
      <c r="K270">
        <v>22</v>
      </c>
      <c r="L270">
        <v>5</v>
      </c>
      <c r="M270">
        <f>IFERROR(Marketing_Data[[#This Row],[leads]]/Marketing_Data[[#This Row],[clicks]],0)</f>
        <v>2.4336283185840708E-2</v>
      </c>
      <c r="N270">
        <f>IFERROR(Marketing_Data[[#This Row],[clicks]]/Marketing_Data[[#This Row],[impressions]],0)</f>
        <v>9.5181940700808619E-3</v>
      </c>
      <c r="O270">
        <f>IFERROR(Marketing_Data[[#This Row],[orders]]/Marketing_Data[[#This Row],[leads]],0)</f>
        <v>0.22727272727272727</v>
      </c>
      <c r="P270">
        <f>IFERROR(Marketing_Data[[#This Row],[revenue]]/Marketing_Data[[#This Row],[orders]],0)</f>
        <v>7606</v>
      </c>
      <c r="Q270">
        <f t="shared" si="30"/>
        <v>9.9943694690265481</v>
      </c>
      <c r="R270">
        <f t="shared" si="31"/>
        <v>410.67772727272728</v>
      </c>
      <c r="S270">
        <f t="shared" si="32"/>
        <v>1806.982</v>
      </c>
      <c r="T270">
        <f t="shared" si="33"/>
        <v>28995.09</v>
      </c>
      <c r="U270">
        <f t="shared" si="34"/>
        <v>3.2092284261824413</v>
      </c>
      <c r="V270">
        <v>38030</v>
      </c>
    </row>
    <row r="271" spans="1:22" x14ac:dyDescent="0.25">
      <c r="A271" s="2">
        <v>270</v>
      </c>
      <c r="B271" s="1">
        <v>44252</v>
      </c>
      <c r="C271" s="1" t="str">
        <f t="shared" si="28"/>
        <v>Weekday</v>
      </c>
      <c r="D271" t="s">
        <v>18</v>
      </c>
      <c r="E271" t="str">
        <f t="shared" si="29"/>
        <v>Tier 1</v>
      </c>
      <c r="F271" t="s">
        <v>12</v>
      </c>
      <c r="G271">
        <v>9034945</v>
      </c>
      <c r="H271">
        <v>106000</v>
      </c>
      <c r="I271">
        <v>2304.0100000000002</v>
      </c>
      <c r="J271">
        <v>530</v>
      </c>
      <c r="K271">
        <v>6</v>
      </c>
      <c r="L271">
        <v>1</v>
      </c>
      <c r="M271">
        <f>IFERROR(Marketing_Data[[#This Row],[leads]]/Marketing_Data[[#This Row],[clicks]],0)</f>
        <v>1.1320754716981131E-2</v>
      </c>
      <c r="N271">
        <f>IFERROR(Marketing_Data[[#This Row],[clicks]]/Marketing_Data[[#This Row],[impressions]],0)</f>
        <v>5.0000000000000001E-3</v>
      </c>
      <c r="O271">
        <f>IFERROR(Marketing_Data[[#This Row],[orders]]/Marketing_Data[[#This Row],[leads]],0)</f>
        <v>0.16666666666666666</v>
      </c>
      <c r="P271">
        <f>IFERROR(Marketing_Data[[#This Row],[revenue]]/Marketing_Data[[#This Row],[orders]],0)</f>
        <v>5981</v>
      </c>
      <c r="Q271">
        <f t="shared" si="30"/>
        <v>4.3471886792452832</v>
      </c>
      <c r="R271">
        <f t="shared" si="31"/>
        <v>384.00166666666672</v>
      </c>
      <c r="S271">
        <f t="shared" si="32"/>
        <v>2304.0100000000002</v>
      </c>
      <c r="T271">
        <f t="shared" si="33"/>
        <v>3676.99</v>
      </c>
      <c r="U271">
        <f t="shared" si="34"/>
        <v>1.5959088719232988</v>
      </c>
      <c r="V271">
        <v>5981</v>
      </c>
    </row>
    <row r="272" spans="1:22" x14ac:dyDescent="0.25">
      <c r="A272" s="2">
        <v>271</v>
      </c>
      <c r="B272" s="1">
        <v>44252</v>
      </c>
      <c r="C272" s="1" t="str">
        <f t="shared" si="28"/>
        <v>Weekday</v>
      </c>
      <c r="D272" t="s">
        <v>19</v>
      </c>
      <c r="E272" t="str">
        <f t="shared" si="29"/>
        <v>Tier 2</v>
      </c>
      <c r="F272" t="s">
        <v>12</v>
      </c>
      <c r="G272">
        <v>983498</v>
      </c>
      <c r="H272">
        <v>115468</v>
      </c>
      <c r="I272">
        <v>2059.0300000000002</v>
      </c>
      <c r="J272">
        <v>1015</v>
      </c>
      <c r="K272">
        <v>20</v>
      </c>
      <c r="L272">
        <v>1</v>
      </c>
      <c r="M272">
        <f>IFERROR(Marketing_Data[[#This Row],[leads]]/Marketing_Data[[#This Row],[clicks]],0)</f>
        <v>1.9704433497536946E-2</v>
      </c>
      <c r="N272">
        <f>IFERROR(Marketing_Data[[#This Row],[clicks]]/Marketing_Data[[#This Row],[impressions]],0)</f>
        <v>8.7903141996050847E-3</v>
      </c>
      <c r="O272">
        <f>IFERROR(Marketing_Data[[#This Row],[orders]]/Marketing_Data[[#This Row],[leads]],0)</f>
        <v>0.05</v>
      </c>
      <c r="P272">
        <f>IFERROR(Marketing_Data[[#This Row],[revenue]]/Marketing_Data[[#This Row],[orders]],0)</f>
        <v>1981</v>
      </c>
      <c r="Q272">
        <f t="shared" si="30"/>
        <v>2.0286009852216749</v>
      </c>
      <c r="R272">
        <f t="shared" si="31"/>
        <v>102.95150000000001</v>
      </c>
      <c r="S272">
        <f t="shared" si="32"/>
        <v>2059.0300000000002</v>
      </c>
      <c r="T272">
        <f t="shared" si="33"/>
        <v>-78.0300000000002</v>
      </c>
      <c r="U272">
        <f t="shared" si="34"/>
        <v>-3.7896485238194777E-2</v>
      </c>
      <c r="V272">
        <v>1981</v>
      </c>
    </row>
    <row r="273" spans="1:22" x14ac:dyDescent="0.25">
      <c r="A273" s="2">
        <v>272</v>
      </c>
      <c r="B273" s="1">
        <v>44252</v>
      </c>
      <c r="C273" s="1" t="str">
        <f t="shared" si="28"/>
        <v>Weekday</v>
      </c>
      <c r="D273" t="s">
        <v>20</v>
      </c>
      <c r="E273" t="str">
        <f t="shared" si="29"/>
        <v>Other</v>
      </c>
      <c r="F273" t="s">
        <v>12</v>
      </c>
      <c r="G273">
        <v>4387490</v>
      </c>
      <c r="H273">
        <v>2214</v>
      </c>
      <c r="I273">
        <v>1487.47</v>
      </c>
      <c r="J273">
        <v>66</v>
      </c>
      <c r="K273">
        <v>3</v>
      </c>
      <c r="L273">
        <v>1</v>
      </c>
      <c r="M273">
        <f>IFERROR(Marketing_Data[[#This Row],[leads]]/Marketing_Data[[#This Row],[clicks]],0)</f>
        <v>4.5454545454545456E-2</v>
      </c>
      <c r="N273">
        <f>IFERROR(Marketing_Data[[#This Row],[clicks]]/Marketing_Data[[#This Row],[impressions]],0)</f>
        <v>2.9810298102981029E-2</v>
      </c>
      <c r="O273">
        <f>IFERROR(Marketing_Data[[#This Row],[orders]]/Marketing_Data[[#This Row],[leads]],0)</f>
        <v>0.33333333333333331</v>
      </c>
      <c r="P273">
        <f>IFERROR(Marketing_Data[[#This Row],[revenue]]/Marketing_Data[[#This Row],[orders]],0)</f>
        <v>4461</v>
      </c>
      <c r="Q273">
        <f t="shared" si="30"/>
        <v>22.537424242424244</v>
      </c>
      <c r="R273">
        <f t="shared" si="31"/>
        <v>495.82333333333332</v>
      </c>
      <c r="S273">
        <f t="shared" si="32"/>
        <v>1487.47</v>
      </c>
      <c r="T273">
        <f t="shared" si="33"/>
        <v>2973.5299999999997</v>
      </c>
      <c r="U273">
        <f t="shared" si="34"/>
        <v>1.9990520817226565</v>
      </c>
      <c r="V273">
        <v>4461</v>
      </c>
    </row>
    <row r="274" spans="1:22" x14ac:dyDescent="0.25">
      <c r="A274" s="2">
        <v>273</v>
      </c>
      <c r="B274" s="1">
        <v>44252</v>
      </c>
      <c r="C274" s="1" t="str">
        <f t="shared" si="28"/>
        <v>Weekday</v>
      </c>
      <c r="D274" t="s">
        <v>21</v>
      </c>
      <c r="E274" t="str">
        <f t="shared" si="29"/>
        <v>Other</v>
      </c>
      <c r="F274" t="s">
        <v>12</v>
      </c>
      <c r="G274">
        <v>544756</v>
      </c>
      <c r="H274">
        <v>25000</v>
      </c>
      <c r="I274">
        <v>5871.29</v>
      </c>
      <c r="J274">
        <v>250</v>
      </c>
      <c r="K274">
        <v>5</v>
      </c>
      <c r="L274">
        <v>1</v>
      </c>
      <c r="M274">
        <f>IFERROR(Marketing_Data[[#This Row],[leads]]/Marketing_Data[[#This Row],[clicks]],0)</f>
        <v>0.02</v>
      </c>
      <c r="N274">
        <f>IFERROR(Marketing_Data[[#This Row],[clicks]]/Marketing_Data[[#This Row],[impressions]],0)</f>
        <v>0.01</v>
      </c>
      <c r="O274">
        <f>IFERROR(Marketing_Data[[#This Row],[orders]]/Marketing_Data[[#This Row],[leads]],0)</f>
        <v>0.2</v>
      </c>
      <c r="P274">
        <f>IFERROR(Marketing_Data[[#This Row],[revenue]]/Marketing_Data[[#This Row],[orders]],0)</f>
        <v>981</v>
      </c>
      <c r="Q274">
        <f t="shared" si="30"/>
        <v>23.48516</v>
      </c>
      <c r="R274">
        <f t="shared" si="31"/>
        <v>1174.258</v>
      </c>
      <c r="S274">
        <f t="shared" si="32"/>
        <v>5871.29</v>
      </c>
      <c r="T274">
        <f t="shared" si="33"/>
        <v>-4890.29</v>
      </c>
      <c r="U274">
        <f t="shared" si="34"/>
        <v>-0.83291576467863115</v>
      </c>
      <c r="V274">
        <v>981</v>
      </c>
    </row>
    <row r="275" spans="1:22" x14ac:dyDescent="0.25">
      <c r="A275" s="2">
        <v>274</v>
      </c>
      <c r="B275" s="1">
        <v>44252</v>
      </c>
      <c r="C275" s="1" t="str">
        <f t="shared" si="28"/>
        <v>Weekday</v>
      </c>
      <c r="D275" t="s">
        <v>22</v>
      </c>
      <c r="E275" t="str">
        <f t="shared" si="29"/>
        <v>Other</v>
      </c>
      <c r="F275" t="s">
        <v>17</v>
      </c>
      <c r="G275">
        <v>374754</v>
      </c>
      <c r="H275">
        <v>46753</v>
      </c>
      <c r="I275">
        <v>6227.53</v>
      </c>
      <c r="J275">
        <v>591</v>
      </c>
      <c r="K275">
        <v>12</v>
      </c>
      <c r="L275">
        <v>2</v>
      </c>
      <c r="M275">
        <f>IFERROR(Marketing_Data[[#This Row],[leads]]/Marketing_Data[[#This Row],[clicks]],0)</f>
        <v>2.030456852791878E-2</v>
      </c>
      <c r="N275">
        <f>IFERROR(Marketing_Data[[#This Row],[clicks]]/Marketing_Data[[#This Row],[impressions]],0)</f>
        <v>1.2640900049194704E-2</v>
      </c>
      <c r="O275">
        <f>IFERROR(Marketing_Data[[#This Row],[orders]]/Marketing_Data[[#This Row],[leads]],0)</f>
        <v>0.16666666666666666</v>
      </c>
      <c r="P275">
        <f>IFERROR(Marketing_Data[[#This Row],[revenue]]/Marketing_Data[[#This Row],[orders]],0)</f>
        <v>5065</v>
      </c>
      <c r="Q275">
        <f t="shared" si="30"/>
        <v>10.537275803722503</v>
      </c>
      <c r="R275">
        <f t="shared" si="31"/>
        <v>518.96083333333331</v>
      </c>
      <c r="S275">
        <f t="shared" si="32"/>
        <v>3113.7649999999999</v>
      </c>
      <c r="T275">
        <f t="shared" si="33"/>
        <v>3902.4700000000003</v>
      </c>
      <c r="U275">
        <f t="shared" si="34"/>
        <v>0.62664812534022318</v>
      </c>
      <c r="V275">
        <v>10130</v>
      </c>
    </row>
    <row r="276" spans="1:22" x14ac:dyDescent="0.25">
      <c r="A276" s="2">
        <v>275</v>
      </c>
      <c r="B276" s="1">
        <v>44252</v>
      </c>
      <c r="C276" s="1" t="str">
        <f t="shared" si="28"/>
        <v>Weekday</v>
      </c>
      <c r="D276" t="s">
        <v>23</v>
      </c>
      <c r="E276" t="str">
        <f t="shared" si="29"/>
        <v>Other</v>
      </c>
      <c r="F276" t="s">
        <v>24</v>
      </c>
      <c r="G276">
        <v>39889</v>
      </c>
      <c r="H276">
        <v>2885291</v>
      </c>
      <c r="I276">
        <v>7583.66</v>
      </c>
      <c r="J276">
        <v>848</v>
      </c>
      <c r="K276">
        <v>17</v>
      </c>
      <c r="L276">
        <v>3</v>
      </c>
      <c r="M276">
        <f>IFERROR(Marketing_Data[[#This Row],[leads]]/Marketing_Data[[#This Row],[clicks]],0)</f>
        <v>2.0047169811320754E-2</v>
      </c>
      <c r="N276">
        <f>IFERROR(Marketing_Data[[#This Row],[clicks]]/Marketing_Data[[#This Row],[impressions]],0)</f>
        <v>2.9390449698141365E-4</v>
      </c>
      <c r="O276">
        <f>IFERROR(Marketing_Data[[#This Row],[orders]]/Marketing_Data[[#This Row],[leads]],0)</f>
        <v>0.17647058823529413</v>
      </c>
      <c r="P276">
        <f>IFERROR(Marketing_Data[[#This Row],[revenue]]/Marketing_Data[[#This Row],[orders]],0)</f>
        <v>3981</v>
      </c>
      <c r="Q276">
        <f t="shared" si="30"/>
        <v>8.9429952830188686</v>
      </c>
      <c r="R276">
        <f t="shared" si="31"/>
        <v>446.0976470588235</v>
      </c>
      <c r="S276">
        <f t="shared" si="32"/>
        <v>2527.8866666666668</v>
      </c>
      <c r="T276">
        <f t="shared" si="33"/>
        <v>4359.34</v>
      </c>
      <c r="U276">
        <f t="shared" si="34"/>
        <v>0.57483325992990197</v>
      </c>
      <c r="V276">
        <v>11943</v>
      </c>
    </row>
    <row r="277" spans="1:22" x14ac:dyDescent="0.25">
      <c r="A277" s="2">
        <v>276</v>
      </c>
      <c r="B277" s="1">
        <v>44253</v>
      </c>
      <c r="C277" s="1" t="str">
        <f t="shared" si="28"/>
        <v>Weekday</v>
      </c>
      <c r="D277" t="s">
        <v>11</v>
      </c>
      <c r="E277" t="str">
        <f t="shared" si="29"/>
        <v>Tier 1</v>
      </c>
      <c r="F277" t="s">
        <v>12</v>
      </c>
      <c r="G277">
        <v>349043</v>
      </c>
      <c r="H277">
        <v>168408</v>
      </c>
      <c r="I277">
        <v>19887.7</v>
      </c>
      <c r="J277">
        <v>1207</v>
      </c>
      <c r="K277">
        <v>39</v>
      </c>
      <c r="L277">
        <v>4</v>
      </c>
      <c r="M277">
        <f>IFERROR(Marketing_Data[[#This Row],[leads]]/Marketing_Data[[#This Row],[clicks]],0)</f>
        <v>3.2311516155758079E-2</v>
      </c>
      <c r="N277">
        <f>IFERROR(Marketing_Data[[#This Row],[clicks]]/Marketing_Data[[#This Row],[impressions]],0)</f>
        <v>7.1671179516412525E-3</v>
      </c>
      <c r="O277">
        <f>IFERROR(Marketing_Data[[#This Row],[orders]]/Marketing_Data[[#This Row],[leads]],0)</f>
        <v>0.10256410256410256</v>
      </c>
      <c r="P277">
        <f>IFERROR(Marketing_Data[[#This Row],[revenue]]/Marketing_Data[[#This Row],[orders]],0)</f>
        <v>5622</v>
      </c>
      <c r="Q277">
        <f t="shared" si="30"/>
        <v>16.476967688483846</v>
      </c>
      <c r="R277">
        <f t="shared" si="31"/>
        <v>509.94102564102565</v>
      </c>
      <c r="S277">
        <f t="shared" si="32"/>
        <v>4971.9250000000002</v>
      </c>
      <c r="T277">
        <f t="shared" si="33"/>
        <v>2600.2999999999993</v>
      </c>
      <c r="U277">
        <f t="shared" si="34"/>
        <v>0.1307491565138251</v>
      </c>
      <c r="V277">
        <v>22488</v>
      </c>
    </row>
    <row r="278" spans="1:22" x14ac:dyDescent="0.25">
      <c r="A278" s="2">
        <v>277</v>
      </c>
      <c r="B278" s="1">
        <v>44253</v>
      </c>
      <c r="C278" s="1" t="str">
        <f t="shared" si="28"/>
        <v>Weekday</v>
      </c>
      <c r="D278" t="s">
        <v>25</v>
      </c>
      <c r="E278" t="str">
        <f t="shared" si="29"/>
        <v>Tier 2</v>
      </c>
      <c r="F278" t="s">
        <v>12</v>
      </c>
      <c r="G278">
        <v>348934</v>
      </c>
      <c r="H278">
        <v>438858</v>
      </c>
      <c r="I278">
        <v>17935.400000000001</v>
      </c>
      <c r="J278">
        <v>1657</v>
      </c>
      <c r="K278">
        <v>33</v>
      </c>
      <c r="L278">
        <v>3</v>
      </c>
      <c r="M278">
        <f>IFERROR(Marketing_Data[[#This Row],[leads]]/Marketing_Data[[#This Row],[clicks]],0)</f>
        <v>1.9915509957754977E-2</v>
      </c>
      <c r="N278">
        <f>IFERROR(Marketing_Data[[#This Row],[clicks]]/Marketing_Data[[#This Row],[impressions]],0)</f>
        <v>3.7757087714021392E-3</v>
      </c>
      <c r="O278">
        <f>IFERROR(Marketing_Data[[#This Row],[orders]]/Marketing_Data[[#This Row],[leads]],0)</f>
        <v>9.0909090909090912E-2</v>
      </c>
      <c r="P278">
        <f>IFERROR(Marketing_Data[[#This Row],[revenue]]/Marketing_Data[[#This Row],[orders]],0)</f>
        <v>5115</v>
      </c>
      <c r="Q278">
        <f t="shared" si="30"/>
        <v>10.824019312009657</v>
      </c>
      <c r="R278">
        <f t="shared" si="31"/>
        <v>543.4969696969697</v>
      </c>
      <c r="S278">
        <f t="shared" si="32"/>
        <v>5978.4666666666672</v>
      </c>
      <c r="T278">
        <f t="shared" si="33"/>
        <v>-2590.4000000000015</v>
      </c>
      <c r="U278">
        <f t="shared" si="34"/>
        <v>-0.1444294523679428</v>
      </c>
      <c r="V278">
        <v>15345</v>
      </c>
    </row>
    <row r="279" spans="1:22" x14ac:dyDescent="0.25">
      <c r="A279" s="2">
        <v>278</v>
      </c>
      <c r="B279" s="1">
        <v>44253</v>
      </c>
      <c r="C279" s="1" t="str">
        <f t="shared" si="28"/>
        <v>Weekday</v>
      </c>
      <c r="D279" t="s">
        <v>13</v>
      </c>
      <c r="E279" t="str">
        <f t="shared" si="29"/>
        <v>Other</v>
      </c>
      <c r="F279" t="s">
        <v>14</v>
      </c>
      <c r="G279">
        <v>89459845</v>
      </c>
      <c r="H279">
        <v>22450</v>
      </c>
      <c r="I279">
        <v>1545.74</v>
      </c>
      <c r="J279">
        <v>449</v>
      </c>
      <c r="K279">
        <v>2</v>
      </c>
      <c r="L279">
        <v>0</v>
      </c>
      <c r="M279">
        <f>IFERROR(Marketing_Data[[#This Row],[leads]]/Marketing_Data[[#This Row],[clicks]],0)</f>
        <v>4.4543429844097994E-3</v>
      </c>
      <c r="N279">
        <f>IFERROR(Marketing_Data[[#This Row],[clicks]]/Marketing_Data[[#This Row],[impressions]],0)</f>
        <v>0.02</v>
      </c>
      <c r="O279">
        <f>IFERROR(Marketing_Data[[#This Row],[orders]]/Marketing_Data[[#This Row],[leads]],0)</f>
        <v>0</v>
      </c>
      <c r="P279">
        <f>IFERROR(Marketing_Data[[#This Row],[revenue]]/Marketing_Data[[#This Row],[orders]],0)</f>
        <v>0</v>
      </c>
      <c r="Q279">
        <f t="shared" si="30"/>
        <v>3.4426280623608019</v>
      </c>
      <c r="R279">
        <f t="shared" si="31"/>
        <v>772.87</v>
      </c>
      <c r="S279">
        <f t="shared" si="32"/>
        <v>0</v>
      </c>
      <c r="T279">
        <f t="shared" si="33"/>
        <v>-1545.74</v>
      </c>
      <c r="U279">
        <f t="shared" si="34"/>
        <v>-1</v>
      </c>
      <c r="V279">
        <v>0</v>
      </c>
    </row>
    <row r="280" spans="1:22" x14ac:dyDescent="0.25">
      <c r="A280" s="2">
        <v>279</v>
      </c>
      <c r="B280" s="1">
        <v>44253</v>
      </c>
      <c r="C280" s="1" t="str">
        <f t="shared" si="28"/>
        <v>Weekday</v>
      </c>
      <c r="D280" t="s">
        <v>15</v>
      </c>
      <c r="E280" t="str">
        <f t="shared" si="29"/>
        <v>Other</v>
      </c>
      <c r="F280" t="s">
        <v>14</v>
      </c>
      <c r="G280">
        <v>127823</v>
      </c>
      <c r="H280">
        <v>240600</v>
      </c>
      <c r="I280">
        <v>4453.1000000000004</v>
      </c>
      <c r="J280">
        <v>1203</v>
      </c>
      <c r="K280">
        <v>11</v>
      </c>
      <c r="L280">
        <v>1</v>
      </c>
      <c r="M280">
        <f>IFERROR(Marketing_Data[[#This Row],[leads]]/Marketing_Data[[#This Row],[clicks]],0)</f>
        <v>9.14380714879468E-3</v>
      </c>
      <c r="N280">
        <f>IFERROR(Marketing_Data[[#This Row],[clicks]]/Marketing_Data[[#This Row],[impressions]],0)</f>
        <v>5.0000000000000001E-3</v>
      </c>
      <c r="O280">
        <f>IFERROR(Marketing_Data[[#This Row],[orders]]/Marketing_Data[[#This Row],[leads]],0)</f>
        <v>9.0909090909090912E-2</v>
      </c>
      <c r="P280">
        <f>IFERROR(Marketing_Data[[#This Row],[revenue]]/Marketing_Data[[#This Row],[orders]],0)</f>
        <v>2283</v>
      </c>
      <c r="Q280">
        <f t="shared" si="30"/>
        <v>3.7016625103906904</v>
      </c>
      <c r="R280">
        <f t="shared" si="31"/>
        <v>404.82727272727277</v>
      </c>
      <c r="S280">
        <f t="shared" si="32"/>
        <v>4453.1000000000004</v>
      </c>
      <c r="T280">
        <f t="shared" si="33"/>
        <v>-2170.1000000000004</v>
      </c>
      <c r="U280">
        <f t="shared" si="34"/>
        <v>-0.48732343760526381</v>
      </c>
      <c r="V280">
        <v>2283</v>
      </c>
    </row>
    <row r="281" spans="1:22" x14ac:dyDescent="0.25">
      <c r="A281" s="2">
        <v>280</v>
      </c>
      <c r="B281" s="1">
        <v>44253</v>
      </c>
      <c r="C281" s="1" t="str">
        <f t="shared" si="28"/>
        <v>Weekday</v>
      </c>
      <c r="D281" t="s">
        <v>16</v>
      </c>
      <c r="E281" t="str">
        <f t="shared" si="29"/>
        <v>Other</v>
      </c>
      <c r="F281" t="s">
        <v>17</v>
      </c>
      <c r="G281">
        <v>10934</v>
      </c>
      <c r="H281">
        <v>195016</v>
      </c>
      <c r="I281">
        <v>38804.199999999997</v>
      </c>
      <c r="J281">
        <v>2247</v>
      </c>
      <c r="K281">
        <v>82</v>
      </c>
      <c r="L281">
        <v>16</v>
      </c>
      <c r="M281">
        <f>IFERROR(Marketing_Data[[#This Row],[leads]]/Marketing_Data[[#This Row],[clicks]],0)</f>
        <v>3.6493101913662659E-2</v>
      </c>
      <c r="N281">
        <f>IFERROR(Marketing_Data[[#This Row],[clicks]]/Marketing_Data[[#This Row],[impressions]],0)</f>
        <v>1.1522131517413955E-2</v>
      </c>
      <c r="O281">
        <f>IFERROR(Marketing_Data[[#This Row],[orders]]/Marketing_Data[[#This Row],[leads]],0)</f>
        <v>0.1951219512195122</v>
      </c>
      <c r="P281">
        <f>IFERROR(Marketing_Data[[#This Row],[revenue]]/Marketing_Data[[#This Row],[orders]],0)</f>
        <v>7981</v>
      </c>
      <c r="Q281">
        <f t="shared" si="30"/>
        <v>17.269336893635959</v>
      </c>
      <c r="R281">
        <f t="shared" si="31"/>
        <v>473.22195121951216</v>
      </c>
      <c r="S281">
        <f t="shared" si="32"/>
        <v>2425.2624999999998</v>
      </c>
      <c r="T281">
        <f t="shared" si="33"/>
        <v>88891.8</v>
      </c>
      <c r="U281">
        <f t="shared" si="34"/>
        <v>2.2907778024028329</v>
      </c>
      <c r="V281">
        <v>127696</v>
      </c>
    </row>
    <row r="282" spans="1:22" x14ac:dyDescent="0.25">
      <c r="A282" s="2">
        <v>281</v>
      </c>
      <c r="B282" s="1">
        <v>44253</v>
      </c>
      <c r="C282" s="1" t="str">
        <f t="shared" si="28"/>
        <v>Weekday</v>
      </c>
      <c r="D282" t="s">
        <v>18</v>
      </c>
      <c r="E282" t="str">
        <f t="shared" si="29"/>
        <v>Tier 1</v>
      </c>
      <c r="F282" t="s">
        <v>12</v>
      </c>
      <c r="G282">
        <v>9034945</v>
      </c>
      <c r="H282">
        <v>174375</v>
      </c>
      <c r="I282">
        <v>12592.4</v>
      </c>
      <c r="J282">
        <v>1342</v>
      </c>
      <c r="K282">
        <v>27</v>
      </c>
      <c r="L282">
        <v>4</v>
      </c>
      <c r="M282">
        <f>IFERROR(Marketing_Data[[#This Row],[leads]]/Marketing_Data[[#This Row],[clicks]],0)</f>
        <v>2.0119225037257823E-2</v>
      </c>
      <c r="N282">
        <f>IFERROR(Marketing_Data[[#This Row],[clicks]]/Marketing_Data[[#This Row],[impressions]],0)</f>
        <v>7.6960573476702512E-3</v>
      </c>
      <c r="O282">
        <f>IFERROR(Marketing_Data[[#This Row],[orders]]/Marketing_Data[[#This Row],[leads]],0)</f>
        <v>0.14814814814814814</v>
      </c>
      <c r="P282">
        <f>IFERROR(Marketing_Data[[#This Row],[revenue]]/Marketing_Data[[#This Row],[orders]],0)</f>
        <v>6639</v>
      </c>
      <c r="Q282">
        <f t="shared" si="30"/>
        <v>9.3833084947839041</v>
      </c>
      <c r="R282">
        <f t="shared" si="31"/>
        <v>466.38518518518515</v>
      </c>
      <c r="S282">
        <f t="shared" si="32"/>
        <v>3148.1</v>
      </c>
      <c r="T282">
        <f t="shared" si="33"/>
        <v>13963.6</v>
      </c>
      <c r="U282">
        <f t="shared" si="34"/>
        <v>1.1088910771576508</v>
      </c>
      <c r="V282">
        <v>26556</v>
      </c>
    </row>
    <row r="283" spans="1:22" x14ac:dyDescent="0.25">
      <c r="A283" s="2">
        <v>282</v>
      </c>
      <c r="B283" s="1">
        <v>44253</v>
      </c>
      <c r="C283" s="1" t="str">
        <f t="shared" si="28"/>
        <v>Weekday</v>
      </c>
      <c r="D283" t="s">
        <v>19</v>
      </c>
      <c r="E283" t="str">
        <f t="shared" si="29"/>
        <v>Tier 2</v>
      </c>
      <c r="F283" t="s">
        <v>12</v>
      </c>
      <c r="G283">
        <v>983498</v>
      </c>
      <c r="H283">
        <v>508600</v>
      </c>
      <c r="I283">
        <v>2403.54</v>
      </c>
      <c r="J283">
        <v>2543</v>
      </c>
      <c r="K283">
        <v>73</v>
      </c>
      <c r="L283">
        <v>1</v>
      </c>
      <c r="M283">
        <f>IFERROR(Marketing_Data[[#This Row],[leads]]/Marketing_Data[[#This Row],[clicks]],0)</f>
        <v>2.8706252457727094E-2</v>
      </c>
      <c r="N283">
        <f>IFERROR(Marketing_Data[[#This Row],[clicks]]/Marketing_Data[[#This Row],[impressions]],0)</f>
        <v>5.0000000000000001E-3</v>
      </c>
      <c r="O283">
        <f>IFERROR(Marketing_Data[[#This Row],[orders]]/Marketing_Data[[#This Row],[leads]],0)</f>
        <v>1.3698630136986301E-2</v>
      </c>
      <c r="P283">
        <f>IFERROR(Marketing_Data[[#This Row],[revenue]]/Marketing_Data[[#This Row],[orders]],0)</f>
        <v>1981</v>
      </c>
      <c r="Q283">
        <f t="shared" si="30"/>
        <v>0.94515926071569012</v>
      </c>
      <c r="R283">
        <f t="shared" si="31"/>
        <v>32.925205479452053</v>
      </c>
      <c r="S283">
        <f t="shared" si="32"/>
        <v>2403.54</v>
      </c>
      <c r="T283">
        <f t="shared" si="33"/>
        <v>-422.53999999999996</v>
      </c>
      <c r="U283">
        <f t="shared" si="34"/>
        <v>-0.17579902976443079</v>
      </c>
      <c r="V283">
        <v>1981</v>
      </c>
    </row>
    <row r="284" spans="1:22" x14ac:dyDescent="0.25">
      <c r="A284" s="2">
        <v>283</v>
      </c>
      <c r="B284" s="1">
        <v>44253</v>
      </c>
      <c r="C284" s="1" t="str">
        <f t="shared" si="28"/>
        <v>Weekday</v>
      </c>
      <c r="D284" t="s">
        <v>20</v>
      </c>
      <c r="E284" t="str">
        <f t="shared" si="29"/>
        <v>Other</v>
      </c>
      <c r="F284" t="s">
        <v>12</v>
      </c>
      <c r="G284">
        <v>4387490</v>
      </c>
      <c r="H284">
        <v>4906</v>
      </c>
      <c r="I284">
        <v>1071.1600000000001</v>
      </c>
      <c r="J284">
        <v>143</v>
      </c>
      <c r="K284">
        <v>3</v>
      </c>
      <c r="L284">
        <v>1</v>
      </c>
      <c r="M284">
        <f>IFERROR(Marketing_Data[[#This Row],[leads]]/Marketing_Data[[#This Row],[clicks]],0)</f>
        <v>2.097902097902098E-2</v>
      </c>
      <c r="N284">
        <f>IFERROR(Marketing_Data[[#This Row],[clicks]]/Marketing_Data[[#This Row],[impressions]],0)</f>
        <v>2.914798206278027E-2</v>
      </c>
      <c r="O284">
        <f>IFERROR(Marketing_Data[[#This Row],[orders]]/Marketing_Data[[#This Row],[leads]],0)</f>
        <v>0.33333333333333331</v>
      </c>
      <c r="P284">
        <f>IFERROR(Marketing_Data[[#This Row],[revenue]]/Marketing_Data[[#This Row],[orders]],0)</f>
        <v>4981</v>
      </c>
      <c r="Q284">
        <f t="shared" si="30"/>
        <v>7.490629370629371</v>
      </c>
      <c r="R284">
        <f t="shared" si="31"/>
        <v>357.05333333333334</v>
      </c>
      <c r="S284">
        <f t="shared" si="32"/>
        <v>1071.1600000000001</v>
      </c>
      <c r="T284">
        <f t="shared" si="33"/>
        <v>3909.84</v>
      </c>
      <c r="U284">
        <f t="shared" si="34"/>
        <v>3.6500989581388401</v>
      </c>
      <c r="V284">
        <v>4981</v>
      </c>
    </row>
    <row r="285" spans="1:22" x14ac:dyDescent="0.25">
      <c r="A285" s="2">
        <v>284</v>
      </c>
      <c r="B285" s="1">
        <v>44253</v>
      </c>
      <c r="C285" s="1" t="str">
        <f t="shared" si="28"/>
        <v>Weekday</v>
      </c>
      <c r="D285" t="s">
        <v>21</v>
      </c>
      <c r="E285" t="str">
        <f t="shared" si="29"/>
        <v>Other</v>
      </c>
      <c r="F285" t="s">
        <v>12</v>
      </c>
      <c r="G285">
        <v>544756</v>
      </c>
      <c r="H285">
        <v>55269</v>
      </c>
      <c r="I285">
        <v>315.92</v>
      </c>
      <c r="J285">
        <v>610</v>
      </c>
      <c r="K285">
        <v>0</v>
      </c>
      <c r="L285">
        <v>0</v>
      </c>
      <c r="M285">
        <f>IFERROR(Marketing_Data[[#This Row],[leads]]/Marketing_Data[[#This Row],[clicks]],0)</f>
        <v>0</v>
      </c>
      <c r="N285">
        <f>IFERROR(Marketing_Data[[#This Row],[clicks]]/Marketing_Data[[#This Row],[impressions]],0)</f>
        <v>1.1036928477084804E-2</v>
      </c>
      <c r="O285">
        <f>IFERROR(Marketing_Data[[#This Row],[orders]]/Marketing_Data[[#This Row],[leads]],0)</f>
        <v>0</v>
      </c>
      <c r="P285">
        <f>IFERROR(Marketing_Data[[#This Row],[revenue]]/Marketing_Data[[#This Row],[orders]],0)</f>
        <v>0</v>
      </c>
      <c r="Q285">
        <f t="shared" si="30"/>
        <v>0.51790163934426237</v>
      </c>
      <c r="R285">
        <f t="shared" si="31"/>
        <v>0</v>
      </c>
      <c r="S285">
        <f t="shared" si="32"/>
        <v>0</v>
      </c>
      <c r="T285">
        <f t="shared" si="33"/>
        <v>-315.92</v>
      </c>
      <c r="U285">
        <f t="shared" si="34"/>
        <v>-1</v>
      </c>
      <c r="V285">
        <v>0</v>
      </c>
    </row>
    <row r="286" spans="1:22" x14ac:dyDescent="0.25">
      <c r="A286" s="2">
        <v>285</v>
      </c>
      <c r="B286" s="1">
        <v>44253</v>
      </c>
      <c r="C286" s="1" t="str">
        <f t="shared" si="28"/>
        <v>Weekday</v>
      </c>
      <c r="D286" t="s">
        <v>22</v>
      </c>
      <c r="E286" t="str">
        <f t="shared" si="29"/>
        <v>Other</v>
      </c>
      <c r="F286" t="s">
        <v>17</v>
      </c>
      <c r="G286">
        <v>374754</v>
      </c>
      <c r="H286">
        <v>192489</v>
      </c>
      <c r="I286">
        <v>15596</v>
      </c>
      <c r="J286">
        <v>1497</v>
      </c>
      <c r="K286">
        <v>34</v>
      </c>
      <c r="L286">
        <v>5</v>
      </c>
      <c r="M286">
        <f>IFERROR(Marketing_Data[[#This Row],[leads]]/Marketing_Data[[#This Row],[clicks]],0)</f>
        <v>2.2712090848363394E-2</v>
      </c>
      <c r="N286">
        <f>IFERROR(Marketing_Data[[#This Row],[clicks]]/Marketing_Data[[#This Row],[impressions]],0)</f>
        <v>7.777067780496548E-3</v>
      </c>
      <c r="O286">
        <f>IFERROR(Marketing_Data[[#This Row],[orders]]/Marketing_Data[[#This Row],[leads]],0)</f>
        <v>0.14705882352941177</v>
      </c>
      <c r="P286">
        <f>IFERROR(Marketing_Data[[#This Row],[revenue]]/Marketing_Data[[#This Row],[orders]],0)</f>
        <v>5041</v>
      </c>
      <c r="Q286">
        <f t="shared" si="30"/>
        <v>10.41816967267869</v>
      </c>
      <c r="R286">
        <f t="shared" si="31"/>
        <v>458.70588235294116</v>
      </c>
      <c r="S286">
        <f t="shared" si="32"/>
        <v>3119.2</v>
      </c>
      <c r="T286">
        <f t="shared" si="33"/>
        <v>9609</v>
      </c>
      <c r="U286">
        <f t="shared" si="34"/>
        <v>0.61611951782508334</v>
      </c>
      <c r="V286">
        <v>25205</v>
      </c>
    </row>
    <row r="287" spans="1:22" x14ac:dyDescent="0.25">
      <c r="A287" s="2">
        <v>286</v>
      </c>
      <c r="B287" s="1">
        <v>44253</v>
      </c>
      <c r="C287" s="1" t="str">
        <f t="shared" si="28"/>
        <v>Weekday</v>
      </c>
      <c r="D287" t="s">
        <v>23</v>
      </c>
      <c r="E287" t="str">
        <f t="shared" si="29"/>
        <v>Other</v>
      </c>
      <c r="F287" t="s">
        <v>24</v>
      </c>
      <c r="G287">
        <v>39889</v>
      </c>
      <c r="H287">
        <v>20930000</v>
      </c>
      <c r="I287">
        <v>8087.73</v>
      </c>
      <c r="J287">
        <v>2093</v>
      </c>
      <c r="K287">
        <v>22</v>
      </c>
      <c r="L287">
        <v>3</v>
      </c>
      <c r="M287">
        <f>IFERROR(Marketing_Data[[#This Row],[leads]]/Marketing_Data[[#This Row],[clicks]],0)</f>
        <v>1.051122790253225E-2</v>
      </c>
      <c r="N287">
        <f>IFERROR(Marketing_Data[[#This Row],[clicks]]/Marketing_Data[[#This Row],[impressions]],0)</f>
        <v>1E-4</v>
      </c>
      <c r="O287">
        <f>IFERROR(Marketing_Data[[#This Row],[orders]]/Marketing_Data[[#This Row],[leads]],0)</f>
        <v>0.13636363636363635</v>
      </c>
      <c r="P287">
        <f>IFERROR(Marketing_Data[[#This Row],[revenue]]/Marketing_Data[[#This Row],[orders]],0)</f>
        <v>4071</v>
      </c>
      <c r="Q287">
        <f t="shared" si="30"/>
        <v>3.8641806020066887</v>
      </c>
      <c r="R287">
        <f t="shared" si="31"/>
        <v>367.62409090909091</v>
      </c>
      <c r="S287">
        <f t="shared" si="32"/>
        <v>2695.91</v>
      </c>
      <c r="T287">
        <f t="shared" si="33"/>
        <v>4125.2700000000004</v>
      </c>
      <c r="U287">
        <f t="shared" si="34"/>
        <v>0.51006524698524813</v>
      </c>
      <c r="V287">
        <v>12213</v>
      </c>
    </row>
    <row r="288" spans="1:22" x14ac:dyDescent="0.25">
      <c r="A288" s="2">
        <v>287</v>
      </c>
      <c r="B288" s="1">
        <v>44254</v>
      </c>
      <c r="C288" s="1" t="str">
        <f t="shared" si="28"/>
        <v>Weekend</v>
      </c>
      <c r="D288" t="s">
        <v>11</v>
      </c>
      <c r="E288" t="str">
        <f t="shared" si="29"/>
        <v>Tier 1</v>
      </c>
      <c r="F288" t="s">
        <v>12</v>
      </c>
      <c r="G288">
        <v>349043</v>
      </c>
      <c r="H288">
        <v>213771</v>
      </c>
      <c r="I288">
        <v>5003.33</v>
      </c>
      <c r="J288">
        <v>241</v>
      </c>
      <c r="K288">
        <v>9</v>
      </c>
      <c r="L288">
        <v>1</v>
      </c>
      <c r="M288">
        <f>IFERROR(Marketing_Data[[#This Row],[leads]]/Marketing_Data[[#This Row],[clicks]],0)</f>
        <v>3.7344398340248962E-2</v>
      </c>
      <c r="N288">
        <f>IFERROR(Marketing_Data[[#This Row],[clicks]]/Marketing_Data[[#This Row],[impressions]],0)</f>
        <v>1.1273746205051199E-3</v>
      </c>
      <c r="O288">
        <f>IFERROR(Marketing_Data[[#This Row],[orders]]/Marketing_Data[[#This Row],[leads]],0)</f>
        <v>0.1111111111111111</v>
      </c>
      <c r="P288">
        <f>IFERROR(Marketing_Data[[#This Row],[revenue]]/Marketing_Data[[#This Row],[orders]],0)</f>
        <v>4223</v>
      </c>
      <c r="Q288">
        <f t="shared" si="30"/>
        <v>20.760705394190872</v>
      </c>
      <c r="R288">
        <f t="shared" si="31"/>
        <v>555.92555555555555</v>
      </c>
      <c r="S288">
        <f t="shared" si="32"/>
        <v>5003.33</v>
      </c>
      <c r="T288">
        <f t="shared" si="33"/>
        <v>-780.32999999999993</v>
      </c>
      <c r="U288">
        <f t="shared" si="34"/>
        <v>-0.15596212922193817</v>
      </c>
      <c r="V288">
        <v>4223</v>
      </c>
    </row>
    <row r="289" spans="1:22" x14ac:dyDescent="0.25">
      <c r="A289" s="2">
        <v>288</v>
      </c>
      <c r="B289" s="1">
        <v>44254</v>
      </c>
      <c r="C289" s="1" t="str">
        <f t="shared" si="28"/>
        <v>Weekend</v>
      </c>
      <c r="D289" t="s">
        <v>25</v>
      </c>
      <c r="E289" t="str">
        <f t="shared" si="29"/>
        <v>Tier 2</v>
      </c>
      <c r="F289" t="s">
        <v>12</v>
      </c>
      <c r="G289">
        <v>348934</v>
      </c>
      <c r="H289">
        <v>66400</v>
      </c>
      <c r="I289">
        <v>3235.77</v>
      </c>
      <c r="J289">
        <v>332</v>
      </c>
      <c r="K289">
        <v>13</v>
      </c>
      <c r="L289">
        <v>0</v>
      </c>
      <c r="M289">
        <f>IFERROR(Marketing_Data[[#This Row],[leads]]/Marketing_Data[[#This Row],[clicks]],0)</f>
        <v>3.9156626506024098E-2</v>
      </c>
      <c r="N289">
        <f>IFERROR(Marketing_Data[[#This Row],[clicks]]/Marketing_Data[[#This Row],[impressions]],0)</f>
        <v>5.0000000000000001E-3</v>
      </c>
      <c r="O289">
        <f>IFERROR(Marketing_Data[[#This Row],[orders]]/Marketing_Data[[#This Row],[leads]],0)</f>
        <v>0</v>
      </c>
      <c r="P289">
        <f>IFERROR(Marketing_Data[[#This Row],[revenue]]/Marketing_Data[[#This Row],[orders]],0)</f>
        <v>0</v>
      </c>
      <c r="Q289">
        <f t="shared" si="30"/>
        <v>9.7462951807228908</v>
      </c>
      <c r="R289">
        <f t="shared" si="31"/>
        <v>248.90538461538461</v>
      </c>
      <c r="S289">
        <f t="shared" si="32"/>
        <v>0</v>
      </c>
      <c r="T289">
        <f t="shared" si="33"/>
        <v>-3235.77</v>
      </c>
      <c r="U289">
        <f t="shared" si="34"/>
        <v>-1</v>
      </c>
      <c r="V289">
        <v>0</v>
      </c>
    </row>
    <row r="290" spans="1:22" x14ac:dyDescent="0.25">
      <c r="A290" s="2">
        <v>289</v>
      </c>
      <c r="B290" s="1">
        <v>44254</v>
      </c>
      <c r="C290" s="1" t="str">
        <f t="shared" si="28"/>
        <v>Weekend</v>
      </c>
      <c r="D290" t="s">
        <v>13</v>
      </c>
      <c r="E290" t="str">
        <f t="shared" si="29"/>
        <v>Other</v>
      </c>
      <c r="F290" t="s">
        <v>14</v>
      </c>
      <c r="G290">
        <v>89459845</v>
      </c>
      <c r="H290">
        <v>4662</v>
      </c>
      <c r="I290">
        <v>1754.25</v>
      </c>
      <c r="J290">
        <v>83</v>
      </c>
      <c r="K290">
        <v>2</v>
      </c>
      <c r="L290">
        <v>0</v>
      </c>
      <c r="M290">
        <f>IFERROR(Marketing_Data[[#This Row],[leads]]/Marketing_Data[[#This Row],[clicks]],0)</f>
        <v>2.4096385542168676E-2</v>
      </c>
      <c r="N290">
        <f>IFERROR(Marketing_Data[[#This Row],[clicks]]/Marketing_Data[[#This Row],[impressions]],0)</f>
        <v>1.7803517803517802E-2</v>
      </c>
      <c r="O290">
        <f>IFERROR(Marketing_Data[[#This Row],[orders]]/Marketing_Data[[#This Row],[leads]],0)</f>
        <v>0</v>
      </c>
      <c r="P290">
        <f>IFERROR(Marketing_Data[[#This Row],[revenue]]/Marketing_Data[[#This Row],[orders]],0)</f>
        <v>0</v>
      </c>
      <c r="Q290">
        <f t="shared" si="30"/>
        <v>21.1355421686747</v>
      </c>
      <c r="R290">
        <f t="shared" si="31"/>
        <v>877.125</v>
      </c>
      <c r="S290">
        <f t="shared" si="32"/>
        <v>0</v>
      </c>
      <c r="T290">
        <f t="shared" si="33"/>
        <v>-1754.25</v>
      </c>
      <c r="U290">
        <f t="shared" si="34"/>
        <v>-1</v>
      </c>
      <c r="V290">
        <v>0</v>
      </c>
    </row>
    <row r="291" spans="1:22" x14ac:dyDescent="0.25">
      <c r="A291" s="2">
        <v>290</v>
      </c>
      <c r="B291" s="1">
        <v>44254</v>
      </c>
      <c r="C291" s="1" t="str">
        <f t="shared" si="28"/>
        <v>Weekend</v>
      </c>
      <c r="D291" t="s">
        <v>15</v>
      </c>
      <c r="E291" t="str">
        <f t="shared" si="29"/>
        <v>Other</v>
      </c>
      <c r="F291" t="s">
        <v>14</v>
      </c>
      <c r="G291">
        <v>127823</v>
      </c>
      <c r="H291">
        <v>40004</v>
      </c>
      <c r="I291">
        <v>1487.24</v>
      </c>
      <c r="J291">
        <v>243</v>
      </c>
      <c r="K291">
        <v>5</v>
      </c>
      <c r="L291">
        <v>0</v>
      </c>
      <c r="M291">
        <f>IFERROR(Marketing_Data[[#This Row],[leads]]/Marketing_Data[[#This Row],[clicks]],0)</f>
        <v>2.0576131687242798E-2</v>
      </c>
      <c r="N291">
        <f>IFERROR(Marketing_Data[[#This Row],[clicks]]/Marketing_Data[[#This Row],[impressions]],0)</f>
        <v>6.0743925607439258E-3</v>
      </c>
      <c r="O291">
        <f>IFERROR(Marketing_Data[[#This Row],[orders]]/Marketing_Data[[#This Row],[leads]],0)</f>
        <v>0</v>
      </c>
      <c r="P291">
        <f>IFERROR(Marketing_Data[[#This Row],[revenue]]/Marketing_Data[[#This Row],[orders]],0)</f>
        <v>0</v>
      </c>
      <c r="Q291">
        <f t="shared" si="30"/>
        <v>6.1203292181069955</v>
      </c>
      <c r="R291">
        <f t="shared" si="31"/>
        <v>297.44799999999998</v>
      </c>
      <c r="S291">
        <f t="shared" si="32"/>
        <v>0</v>
      </c>
      <c r="T291">
        <f t="shared" si="33"/>
        <v>-1487.24</v>
      </c>
      <c r="U291">
        <f t="shared" si="34"/>
        <v>-1</v>
      </c>
      <c r="V291">
        <v>0</v>
      </c>
    </row>
    <row r="292" spans="1:22" x14ac:dyDescent="0.25">
      <c r="A292" s="2">
        <v>291</v>
      </c>
      <c r="B292" s="1">
        <v>44254</v>
      </c>
      <c r="C292" s="1" t="str">
        <f t="shared" si="28"/>
        <v>Weekend</v>
      </c>
      <c r="D292" t="s">
        <v>16</v>
      </c>
      <c r="E292" t="str">
        <f t="shared" si="29"/>
        <v>Other</v>
      </c>
      <c r="F292" t="s">
        <v>17</v>
      </c>
      <c r="G292">
        <v>10934</v>
      </c>
      <c r="H292">
        <v>44000</v>
      </c>
      <c r="I292">
        <v>5721.83</v>
      </c>
      <c r="J292">
        <v>440</v>
      </c>
      <c r="K292">
        <v>15</v>
      </c>
      <c r="L292">
        <v>3</v>
      </c>
      <c r="M292">
        <f>IFERROR(Marketing_Data[[#This Row],[leads]]/Marketing_Data[[#This Row],[clicks]],0)</f>
        <v>3.4090909090909088E-2</v>
      </c>
      <c r="N292">
        <f>IFERROR(Marketing_Data[[#This Row],[clicks]]/Marketing_Data[[#This Row],[impressions]],0)</f>
        <v>0.01</v>
      </c>
      <c r="O292">
        <f>IFERROR(Marketing_Data[[#This Row],[orders]]/Marketing_Data[[#This Row],[leads]],0)</f>
        <v>0.2</v>
      </c>
      <c r="P292">
        <f>IFERROR(Marketing_Data[[#This Row],[revenue]]/Marketing_Data[[#This Row],[orders]],0)</f>
        <v>7981</v>
      </c>
      <c r="Q292">
        <f t="shared" si="30"/>
        <v>13.004159090909091</v>
      </c>
      <c r="R292">
        <f t="shared" si="31"/>
        <v>381.45533333333333</v>
      </c>
      <c r="S292">
        <f t="shared" si="32"/>
        <v>1907.2766666666666</v>
      </c>
      <c r="T292">
        <f t="shared" si="33"/>
        <v>18221.169999999998</v>
      </c>
      <c r="U292">
        <f t="shared" si="34"/>
        <v>3.1845004133293018</v>
      </c>
      <c r="V292">
        <v>23943</v>
      </c>
    </row>
    <row r="293" spans="1:22" x14ac:dyDescent="0.25">
      <c r="A293" s="2">
        <v>292</v>
      </c>
      <c r="B293" s="1">
        <v>44254</v>
      </c>
      <c r="C293" s="1" t="str">
        <f t="shared" si="28"/>
        <v>Weekend</v>
      </c>
      <c r="D293" t="s">
        <v>18</v>
      </c>
      <c r="E293" t="str">
        <f t="shared" si="29"/>
        <v>Tier 1</v>
      </c>
      <c r="F293" t="s">
        <v>12</v>
      </c>
      <c r="G293">
        <v>9034945</v>
      </c>
      <c r="H293">
        <v>44112</v>
      </c>
      <c r="I293">
        <v>1832.16</v>
      </c>
      <c r="J293">
        <v>275</v>
      </c>
      <c r="K293">
        <v>6</v>
      </c>
      <c r="L293">
        <v>1</v>
      </c>
      <c r="M293">
        <f>IFERROR(Marketing_Data[[#This Row],[leads]]/Marketing_Data[[#This Row],[clicks]],0)</f>
        <v>2.181818181818182E-2</v>
      </c>
      <c r="N293">
        <f>IFERROR(Marketing_Data[[#This Row],[clicks]]/Marketing_Data[[#This Row],[impressions]],0)</f>
        <v>6.234131302140007E-3</v>
      </c>
      <c r="O293">
        <f>IFERROR(Marketing_Data[[#This Row],[orders]]/Marketing_Data[[#This Row],[leads]],0)</f>
        <v>0.16666666666666666</v>
      </c>
      <c r="P293">
        <f>IFERROR(Marketing_Data[[#This Row],[revenue]]/Marketing_Data[[#This Row],[orders]],0)</f>
        <v>5981</v>
      </c>
      <c r="Q293">
        <f t="shared" si="30"/>
        <v>6.6623999999999999</v>
      </c>
      <c r="R293">
        <f t="shared" si="31"/>
        <v>305.36</v>
      </c>
      <c r="S293">
        <f t="shared" si="32"/>
        <v>1832.16</v>
      </c>
      <c r="T293">
        <f t="shared" si="33"/>
        <v>4148.84</v>
      </c>
      <c r="U293">
        <f t="shared" si="34"/>
        <v>2.2644528862108113</v>
      </c>
      <c r="V293">
        <v>5981</v>
      </c>
    </row>
    <row r="294" spans="1:22" x14ac:dyDescent="0.25">
      <c r="A294" s="2">
        <v>293</v>
      </c>
      <c r="B294" s="1">
        <v>44254</v>
      </c>
      <c r="C294" s="1" t="str">
        <f t="shared" si="28"/>
        <v>Weekend</v>
      </c>
      <c r="D294" t="s">
        <v>19</v>
      </c>
      <c r="E294" t="str">
        <f t="shared" si="29"/>
        <v>Tier 2</v>
      </c>
      <c r="F294" t="s">
        <v>12</v>
      </c>
      <c r="G294">
        <v>983498</v>
      </c>
      <c r="H294">
        <v>78799</v>
      </c>
      <c r="I294">
        <v>254.14</v>
      </c>
      <c r="J294">
        <v>503</v>
      </c>
      <c r="K294">
        <v>3</v>
      </c>
      <c r="L294">
        <v>0</v>
      </c>
      <c r="M294">
        <f>IFERROR(Marketing_Data[[#This Row],[leads]]/Marketing_Data[[#This Row],[clicks]],0)</f>
        <v>5.9642147117296221E-3</v>
      </c>
      <c r="N294">
        <f>IFERROR(Marketing_Data[[#This Row],[clicks]]/Marketing_Data[[#This Row],[impressions]],0)</f>
        <v>6.3833297376870261E-3</v>
      </c>
      <c r="O294">
        <f>IFERROR(Marketing_Data[[#This Row],[orders]]/Marketing_Data[[#This Row],[leads]],0)</f>
        <v>0</v>
      </c>
      <c r="P294">
        <f>IFERROR(Marketing_Data[[#This Row],[revenue]]/Marketing_Data[[#This Row],[orders]],0)</f>
        <v>0</v>
      </c>
      <c r="Q294">
        <f t="shared" si="30"/>
        <v>0.50524850894632201</v>
      </c>
      <c r="R294">
        <f t="shared" si="31"/>
        <v>84.713333333333324</v>
      </c>
      <c r="S294">
        <f t="shared" si="32"/>
        <v>0</v>
      </c>
      <c r="T294">
        <f t="shared" si="33"/>
        <v>-254.14</v>
      </c>
      <c r="U294">
        <f t="shared" si="34"/>
        <v>-1</v>
      </c>
      <c r="V294">
        <v>0</v>
      </c>
    </row>
    <row r="295" spans="1:22" x14ac:dyDescent="0.25">
      <c r="A295" s="2">
        <v>294</v>
      </c>
      <c r="B295" s="1">
        <v>44254</v>
      </c>
      <c r="C295" s="1" t="str">
        <f t="shared" si="28"/>
        <v>Weekend</v>
      </c>
      <c r="D295" t="s">
        <v>20</v>
      </c>
      <c r="E295" t="str">
        <f t="shared" si="29"/>
        <v>Other</v>
      </c>
      <c r="F295" t="s">
        <v>12</v>
      </c>
      <c r="G295">
        <v>4387490</v>
      </c>
      <c r="H295">
        <v>667</v>
      </c>
      <c r="I295">
        <v>200.42</v>
      </c>
      <c r="J295">
        <v>20</v>
      </c>
      <c r="K295">
        <v>0</v>
      </c>
      <c r="L295">
        <v>0</v>
      </c>
      <c r="M295">
        <f>IFERROR(Marketing_Data[[#This Row],[leads]]/Marketing_Data[[#This Row],[clicks]],0)</f>
        <v>0</v>
      </c>
      <c r="N295">
        <f>IFERROR(Marketing_Data[[#This Row],[clicks]]/Marketing_Data[[#This Row],[impressions]],0)</f>
        <v>2.9985007496251874E-2</v>
      </c>
      <c r="O295">
        <f>IFERROR(Marketing_Data[[#This Row],[orders]]/Marketing_Data[[#This Row],[leads]],0)</f>
        <v>0</v>
      </c>
      <c r="P295">
        <f>IFERROR(Marketing_Data[[#This Row],[revenue]]/Marketing_Data[[#This Row],[orders]],0)</f>
        <v>0</v>
      </c>
      <c r="Q295">
        <f t="shared" si="30"/>
        <v>10.020999999999999</v>
      </c>
      <c r="R295">
        <f t="shared" si="31"/>
        <v>0</v>
      </c>
      <c r="S295">
        <f t="shared" si="32"/>
        <v>0</v>
      </c>
      <c r="T295">
        <f t="shared" si="33"/>
        <v>-200.42</v>
      </c>
      <c r="U295">
        <f t="shared" si="34"/>
        <v>-1</v>
      </c>
      <c r="V295">
        <v>0</v>
      </c>
    </row>
    <row r="296" spans="1:22" x14ac:dyDescent="0.25">
      <c r="A296" s="2">
        <v>295</v>
      </c>
      <c r="B296" s="1">
        <v>44254</v>
      </c>
      <c r="C296" s="1" t="str">
        <f t="shared" si="28"/>
        <v>Weekend</v>
      </c>
      <c r="D296" t="s">
        <v>21</v>
      </c>
      <c r="E296" t="str">
        <f t="shared" si="29"/>
        <v>Other</v>
      </c>
      <c r="F296" t="s">
        <v>12</v>
      </c>
      <c r="G296">
        <v>544756</v>
      </c>
      <c r="H296">
        <v>13693</v>
      </c>
      <c r="I296">
        <v>3098.45</v>
      </c>
      <c r="J296">
        <v>115</v>
      </c>
      <c r="K296">
        <v>2</v>
      </c>
      <c r="L296">
        <v>0</v>
      </c>
      <c r="M296">
        <f>IFERROR(Marketing_Data[[#This Row],[leads]]/Marketing_Data[[#This Row],[clicks]],0)</f>
        <v>1.7391304347826087E-2</v>
      </c>
      <c r="N296">
        <f>IFERROR(Marketing_Data[[#This Row],[clicks]]/Marketing_Data[[#This Row],[impressions]],0)</f>
        <v>8.3984517636748711E-3</v>
      </c>
      <c r="O296">
        <f>IFERROR(Marketing_Data[[#This Row],[orders]]/Marketing_Data[[#This Row],[leads]],0)</f>
        <v>0</v>
      </c>
      <c r="P296">
        <f>IFERROR(Marketing_Data[[#This Row],[revenue]]/Marketing_Data[[#This Row],[orders]],0)</f>
        <v>0</v>
      </c>
      <c r="Q296">
        <f t="shared" si="30"/>
        <v>26.943043478260869</v>
      </c>
      <c r="R296">
        <f t="shared" si="31"/>
        <v>1549.2249999999999</v>
      </c>
      <c r="S296">
        <f t="shared" si="32"/>
        <v>0</v>
      </c>
      <c r="T296">
        <f t="shared" si="33"/>
        <v>-3098.45</v>
      </c>
      <c r="U296">
        <f t="shared" si="34"/>
        <v>-1</v>
      </c>
      <c r="V296">
        <v>0</v>
      </c>
    </row>
    <row r="297" spans="1:22" x14ac:dyDescent="0.25">
      <c r="A297" s="2">
        <v>296</v>
      </c>
      <c r="B297" s="1">
        <v>44254</v>
      </c>
      <c r="C297" s="1" t="str">
        <f t="shared" si="28"/>
        <v>Weekend</v>
      </c>
      <c r="D297" t="s">
        <v>22</v>
      </c>
      <c r="E297" t="str">
        <f t="shared" si="29"/>
        <v>Other</v>
      </c>
      <c r="F297" t="s">
        <v>17</v>
      </c>
      <c r="G297">
        <v>374754</v>
      </c>
      <c r="H297">
        <v>24018</v>
      </c>
      <c r="I297">
        <v>3524.08</v>
      </c>
      <c r="J297">
        <v>298</v>
      </c>
      <c r="K297">
        <v>6</v>
      </c>
      <c r="L297">
        <v>1</v>
      </c>
      <c r="M297">
        <f>IFERROR(Marketing_Data[[#This Row],[leads]]/Marketing_Data[[#This Row],[clicks]],0)</f>
        <v>2.0134228187919462E-2</v>
      </c>
      <c r="N297">
        <f>IFERROR(Marketing_Data[[#This Row],[clicks]]/Marketing_Data[[#This Row],[impressions]],0)</f>
        <v>1.2407361145807311E-2</v>
      </c>
      <c r="O297">
        <f>IFERROR(Marketing_Data[[#This Row],[orders]]/Marketing_Data[[#This Row],[leads]],0)</f>
        <v>0.16666666666666666</v>
      </c>
      <c r="P297">
        <f>IFERROR(Marketing_Data[[#This Row],[revenue]]/Marketing_Data[[#This Row],[orders]],0)</f>
        <v>4661</v>
      </c>
      <c r="Q297">
        <f t="shared" si="30"/>
        <v>11.825771812080538</v>
      </c>
      <c r="R297">
        <f t="shared" si="31"/>
        <v>587.34666666666669</v>
      </c>
      <c r="S297">
        <f t="shared" si="32"/>
        <v>3524.08</v>
      </c>
      <c r="T297">
        <f t="shared" si="33"/>
        <v>1136.92</v>
      </c>
      <c r="U297">
        <f t="shared" si="34"/>
        <v>0.32261469660166625</v>
      </c>
      <c r="V297">
        <v>4661</v>
      </c>
    </row>
    <row r="298" spans="1:22" x14ac:dyDescent="0.25">
      <c r="A298" s="2">
        <v>297</v>
      </c>
      <c r="B298" s="1">
        <v>44254</v>
      </c>
      <c r="C298" s="1" t="str">
        <f t="shared" si="28"/>
        <v>Weekend</v>
      </c>
      <c r="D298" t="s">
        <v>23</v>
      </c>
      <c r="E298" t="str">
        <f t="shared" si="29"/>
        <v>Other</v>
      </c>
      <c r="F298" t="s">
        <v>24</v>
      </c>
      <c r="G298">
        <v>39889</v>
      </c>
      <c r="H298">
        <v>182546</v>
      </c>
      <c r="I298">
        <v>2791.06</v>
      </c>
      <c r="J298">
        <v>426</v>
      </c>
      <c r="K298">
        <v>9</v>
      </c>
      <c r="L298">
        <v>1</v>
      </c>
      <c r="M298">
        <f>IFERROR(Marketing_Data[[#This Row],[leads]]/Marketing_Data[[#This Row],[clicks]],0)</f>
        <v>2.1126760563380281E-2</v>
      </c>
      <c r="N298">
        <f>IFERROR(Marketing_Data[[#This Row],[clicks]]/Marketing_Data[[#This Row],[impressions]],0)</f>
        <v>2.3336583655626528E-3</v>
      </c>
      <c r="O298">
        <f>IFERROR(Marketing_Data[[#This Row],[orders]]/Marketing_Data[[#This Row],[leads]],0)</f>
        <v>0.1111111111111111</v>
      </c>
      <c r="P298">
        <f>IFERROR(Marketing_Data[[#This Row],[revenue]]/Marketing_Data[[#This Row],[orders]],0)</f>
        <v>3981</v>
      </c>
      <c r="Q298">
        <f t="shared" si="30"/>
        <v>6.5517840375586855</v>
      </c>
      <c r="R298">
        <f t="shared" si="31"/>
        <v>310.11777777777775</v>
      </c>
      <c r="S298">
        <f t="shared" si="32"/>
        <v>2791.06</v>
      </c>
      <c r="T298">
        <f t="shared" si="33"/>
        <v>1189.94</v>
      </c>
      <c r="U298">
        <f t="shared" si="34"/>
        <v>0.42633981354754108</v>
      </c>
      <c r="V298">
        <v>3981</v>
      </c>
    </row>
    <row r="299" spans="1:22" x14ac:dyDescent="0.25">
      <c r="A299" s="2">
        <v>298</v>
      </c>
      <c r="B299" s="1">
        <v>44255</v>
      </c>
      <c r="C299" s="1" t="str">
        <f t="shared" si="28"/>
        <v>Weekend</v>
      </c>
      <c r="D299" t="s">
        <v>11</v>
      </c>
      <c r="E299" t="str">
        <f t="shared" si="29"/>
        <v>Tier 1</v>
      </c>
      <c r="F299" t="s">
        <v>12</v>
      </c>
      <c r="G299">
        <v>349043</v>
      </c>
      <c r="H299">
        <v>97200</v>
      </c>
      <c r="I299">
        <v>6440.5</v>
      </c>
      <c r="J299">
        <v>486</v>
      </c>
      <c r="K299">
        <v>11</v>
      </c>
      <c r="L299">
        <v>1</v>
      </c>
      <c r="M299">
        <f>IFERROR(Marketing_Data[[#This Row],[leads]]/Marketing_Data[[#This Row],[clicks]],0)</f>
        <v>2.2633744855967079E-2</v>
      </c>
      <c r="N299">
        <f>IFERROR(Marketing_Data[[#This Row],[clicks]]/Marketing_Data[[#This Row],[impressions]],0)</f>
        <v>5.0000000000000001E-3</v>
      </c>
      <c r="O299">
        <f>IFERROR(Marketing_Data[[#This Row],[orders]]/Marketing_Data[[#This Row],[leads]],0)</f>
        <v>9.0909090909090912E-2</v>
      </c>
      <c r="P299">
        <f>IFERROR(Marketing_Data[[#This Row],[revenue]]/Marketing_Data[[#This Row],[orders]],0)</f>
        <v>4981</v>
      </c>
      <c r="Q299">
        <f t="shared" si="30"/>
        <v>13.252057613168724</v>
      </c>
      <c r="R299">
        <f t="shared" si="31"/>
        <v>585.5</v>
      </c>
      <c r="S299">
        <f t="shared" si="32"/>
        <v>6440.5</v>
      </c>
      <c r="T299">
        <f t="shared" si="33"/>
        <v>-1459.5</v>
      </c>
      <c r="U299">
        <f t="shared" si="34"/>
        <v>-0.22661284061796444</v>
      </c>
      <c r="V299">
        <v>4981</v>
      </c>
    </row>
    <row r="300" spans="1:22" x14ac:dyDescent="0.25">
      <c r="A300" s="2">
        <v>299</v>
      </c>
      <c r="B300" s="1">
        <v>44255</v>
      </c>
      <c r="C300" s="1" t="str">
        <f t="shared" si="28"/>
        <v>Weekend</v>
      </c>
      <c r="D300" t="s">
        <v>25</v>
      </c>
      <c r="E300" t="str">
        <f t="shared" si="29"/>
        <v>Tier 2</v>
      </c>
      <c r="F300" t="s">
        <v>12</v>
      </c>
      <c r="G300">
        <v>348934</v>
      </c>
      <c r="H300">
        <v>132200</v>
      </c>
      <c r="I300">
        <v>8665.5499999999993</v>
      </c>
      <c r="J300">
        <v>661</v>
      </c>
      <c r="K300">
        <v>13</v>
      </c>
      <c r="L300">
        <v>1</v>
      </c>
      <c r="M300">
        <f>IFERROR(Marketing_Data[[#This Row],[leads]]/Marketing_Data[[#This Row],[clicks]],0)</f>
        <v>1.9667170953101363E-2</v>
      </c>
      <c r="N300">
        <f>IFERROR(Marketing_Data[[#This Row],[clicks]]/Marketing_Data[[#This Row],[impressions]],0)</f>
        <v>5.0000000000000001E-3</v>
      </c>
      <c r="O300">
        <f>IFERROR(Marketing_Data[[#This Row],[orders]]/Marketing_Data[[#This Row],[leads]],0)</f>
        <v>7.6923076923076927E-2</v>
      </c>
      <c r="P300">
        <f>IFERROR(Marketing_Data[[#This Row],[revenue]]/Marketing_Data[[#This Row],[orders]],0)</f>
        <v>5509</v>
      </c>
      <c r="Q300">
        <f t="shared" si="30"/>
        <v>13.109757942511346</v>
      </c>
      <c r="R300">
        <f t="shared" si="31"/>
        <v>666.58076923076919</v>
      </c>
      <c r="S300">
        <f t="shared" si="32"/>
        <v>8665.5499999999993</v>
      </c>
      <c r="T300">
        <f t="shared" si="33"/>
        <v>-3156.5499999999993</v>
      </c>
      <c r="U300">
        <f t="shared" si="34"/>
        <v>-0.36426424173883937</v>
      </c>
      <c r="V300">
        <v>5509</v>
      </c>
    </row>
    <row r="301" spans="1:22" x14ac:dyDescent="0.25">
      <c r="A301" s="2">
        <v>300</v>
      </c>
      <c r="B301" s="1">
        <v>44255</v>
      </c>
      <c r="C301" s="1" t="str">
        <f t="shared" si="28"/>
        <v>Weekend</v>
      </c>
      <c r="D301" t="s">
        <v>13</v>
      </c>
      <c r="E301" t="str">
        <f t="shared" si="29"/>
        <v>Other</v>
      </c>
      <c r="F301" t="s">
        <v>14</v>
      </c>
      <c r="G301">
        <v>89459845</v>
      </c>
      <c r="H301">
        <v>11554</v>
      </c>
      <c r="I301">
        <v>3529.73</v>
      </c>
      <c r="J301">
        <v>187</v>
      </c>
      <c r="K301">
        <v>5</v>
      </c>
      <c r="L301">
        <v>1</v>
      </c>
      <c r="M301">
        <f>IFERROR(Marketing_Data[[#This Row],[leads]]/Marketing_Data[[#This Row],[clicks]],0)</f>
        <v>2.6737967914438502E-2</v>
      </c>
      <c r="N301">
        <f>IFERROR(Marketing_Data[[#This Row],[clicks]]/Marketing_Data[[#This Row],[impressions]],0)</f>
        <v>1.6184871040332352E-2</v>
      </c>
      <c r="O301">
        <f>IFERROR(Marketing_Data[[#This Row],[orders]]/Marketing_Data[[#This Row],[leads]],0)</f>
        <v>0.2</v>
      </c>
      <c r="P301">
        <f>IFERROR(Marketing_Data[[#This Row],[revenue]]/Marketing_Data[[#This Row],[orders]],0)</f>
        <v>8714</v>
      </c>
      <c r="Q301">
        <f t="shared" si="30"/>
        <v>18.875561497326203</v>
      </c>
      <c r="R301">
        <f t="shared" si="31"/>
        <v>705.94600000000003</v>
      </c>
      <c r="S301">
        <f t="shared" si="32"/>
        <v>3529.73</v>
      </c>
      <c r="T301">
        <f t="shared" si="33"/>
        <v>5184.2700000000004</v>
      </c>
      <c r="U301">
        <f t="shared" si="34"/>
        <v>1.4687440682431803</v>
      </c>
      <c r="V301">
        <v>8714</v>
      </c>
    </row>
    <row r="302" spans="1:22" x14ac:dyDescent="0.25">
      <c r="A302" s="2">
        <v>301</v>
      </c>
      <c r="B302" s="1">
        <v>44255</v>
      </c>
      <c r="C302" s="1" t="str">
        <f t="shared" si="28"/>
        <v>Weekend</v>
      </c>
      <c r="D302" t="s">
        <v>15</v>
      </c>
      <c r="E302" t="str">
        <f t="shared" si="29"/>
        <v>Other</v>
      </c>
      <c r="F302" t="s">
        <v>14</v>
      </c>
      <c r="G302">
        <v>127823</v>
      </c>
      <c r="H302">
        <v>55625</v>
      </c>
      <c r="I302">
        <v>384.75</v>
      </c>
      <c r="J302">
        <v>487</v>
      </c>
      <c r="K302">
        <v>1</v>
      </c>
      <c r="L302">
        <v>0</v>
      </c>
      <c r="M302">
        <f>IFERROR(Marketing_Data[[#This Row],[leads]]/Marketing_Data[[#This Row],[clicks]],0)</f>
        <v>2.0533880903490761E-3</v>
      </c>
      <c r="N302">
        <f>IFERROR(Marketing_Data[[#This Row],[clicks]]/Marketing_Data[[#This Row],[impressions]],0)</f>
        <v>8.7550561797752804E-3</v>
      </c>
      <c r="O302">
        <f>IFERROR(Marketing_Data[[#This Row],[orders]]/Marketing_Data[[#This Row],[leads]],0)</f>
        <v>0</v>
      </c>
      <c r="P302">
        <f>IFERROR(Marketing_Data[[#This Row],[revenue]]/Marketing_Data[[#This Row],[orders]],0)</f>
        <v>0</v>
      </c>
      <c r="Q302">
        <f t="shared" si="30"/>
        <v>0.79004106776180694</v>
      </c>
      <c r="R302">
        <f t="shared" si="31"/>
        <v>384.75</v>
      </c>
      <c r="S302">
        <f t="shared" si="32"/>
        <v>0</v>
      </c>
      <c r="T302">
        <f t="shared" si="33"/>
        <v>-384.75</v>
      </c>
      <c r="U302">
        <f t="shared" si="34"/>
        <v>-1</v>
      </c>
      <c r="V302">
        <v>0</v>
      </c>
    </row>
    <row r="303" spans="1:22" x14ac:dyDescent="0.25">
      <c r="A303" s="2">
        <v>302</v>
      </c>
      <c r="B303" s="1">
        <v>44255</v>
      </c>
      <c r="C303" s="1" t="str">
        <f t="shared" si="28"/>
        <v>Weekend</v>
      </c>
      <c r="D303" t="s">
        <v>16</v>
      </c>
      <c r="E303" t="str">
        <f t="shared" si="29"/>
        <v>Other</v>
      </c>
      <c r="F303" t="s">
        <v>17</v>
      </c>
      <c r="G303">
        <v>10934</v>
      </c>
      <c r="H303">
        <v>129025</v>
      </c>
      <c r="I303">
        <v>9892.77</v>
      </c>
      <c r="J303">
        <v>909</v>
      </c>
      <c r="K303">
        <v>21</v>
      </c>
      <c r="L303">
        <v>5</v>
      </c>
      <c r="M303">
        <f>IFERROR(Marketing_Data[[#This Row],[leads]]/Marketing_Data[[#This Row],[clicks]],0)</f>
        <v>2.3102310231023101E-2</v>
      </c>
      <c r="N303">
        <f>IFERROR(Marketing_Data[[#This Row],[clicks]]/Marketing_Data[[#This Row],[impressions]],0)</f>
        <v>7.0451462894787834E-3</v>
      </c>
      <c r="O303">
        <f>IFERROR(Marketing_Data[[#This Row],[orders]]/Marketing_Data[[#This Row],[leads]],0)</f>
        <v>0.23809523809523808</v>
      </c>
      <c r="P303">
        <f>IFERROR(Marketing_Data[[#This Row],[revenue]]/Marketing_Data[[#This Row],[orders]],0)</f>
        <v>7490</v>
      </c>
      <c r="Q303">
        <f t="shared" si="30"/>
        <v>10.883135313531353</v>
      </c>
      <c r="R303">
        <f t="shared" si="31"/>
        <v>471.08428571428573</v>
      </c>
      <c r="S303">
        <f t="shared" si="32"/>
        <v>1978.5540000000001</v>
      </c>
      <c r="T303">
        <f t="shared" si="33"/>
        <v>27557.23</v>
      </c>
      <c r="U303">
        <f t="shared" si="34"/>
        <v>2.7855929128039971</v>
      </c>
      <c r="V303">
        <v>37450</v>
      </c>
    </row>
    <row r="304" spans="1:22" x14ac:dyDescent="0.25">
      <c r="A304" s="2">
        <v>303</v>
      </c>
      <c r="B304" s="1">
        <v>44255</v>
      </c>
      <c r="C304" s="1" t="str">
        <f t="shared" si="28"/>
        <v>Weekend</v>
      </c>
      <c r="D304" t="s">
        <v>18</v>
      </c>
      <c r="E304" t="str">
        <f t="shared" si="29"/>
        <v>Tier 1</v>
      </c>
      <c r="F304" t="s">
        <v>12</v>
      </c>
      <c r="G304">
        <v>9034945</v>
      </c>
      <c r="H304">
        <v>63566</v>
      </c>
      <c r="I304">
        <v>4950.74</v>
      </c>
      <c r="J304">
        <v>546</v>
      </c>
      <c r="K304">
        <v>12</v>
      </c>
      <c r="L304">
        <v>1</v>
      </c>
      <c r="M304">
        <f>IFERROR(Marketing_Data[[#This Row],[leads]]/Marketing_Data[[#This Row],[clicks]],0)</f>
        <v>2.197802197802198E-2</v>
      </c>
      <c r="N304">
        <f>IFERROR(Marketing_Data[[#This Row],[clicks]]/Marketing_Data[[#This Row],[impressions]],0)</f>
        <v>8.5894975301261684E-3</v>
      </c>
      <c r="O304">
        <f>IFERROR(Marketing_Data[[#This Row],[orders]]/Marketing_Data[[#This Row],[leads]],0)</f>
        <v>8.3333333333333329E-2</v>
      </c>
      <c r="P304">
        <f>IFERROR(Marketing_Data[[#This Row],[revenue]]/Marketing_Data[[#This Row],[orders]],0)</f>
        <v>5981</v>
      </c>
      <c r="Q304">
        <f t="shared" si="30"/>
        <v>9.0672893772893772</v>
      </c>
      <c r="R304">
        <f t="shared" si="31"/>
        <v>412.56166666666667</v>
      </c>
      <c r="S304">
        <f t="shared" si="32"/>
        <v>4950.74</v>
      </c>
      <c r="T304">
        <f t="shared" si="33"/>
        <v>1030.2600000000002</v>
      </c>
      <c r="U304">
        <f t="shared" si="34"/>
        <v>0.20810222310200097</v>
      </c>
      <c r="V304">
        <v>5981</v>
      </c>
    </row>
    <row r="305" spans="1:22" x14ac:dyDescent="0.25">
      <c r="A305" s="2">
        <v>304</v>
      </c>
      <c r="B305" s="1">
        <v>44255</v>
      </c>
      <c r="C305" s="1" t="str">
        <f t="shared" si="28"/>
        <v>Weekend</v>
      </c>
      <c r="D305" t="s">
        <v>19</v>
      </c>
      <c r="E305" t="str">
        <f t="shared" si="29"/>
        <v>Tier 2</v>
      </c>
      <c r="F305" t="s">
        <v>12</v>
      </c>
      <c r="G305">
        <v>983498</v>
      </c>
      <c r="H305">
        <v>775780</v>
      </c>
      <c r="I305">
        <v>760.75</v>
      </c>
      <c r="J305">
        <v>1024</v>
      </c>
      <c r="K305">
        <v>4</v>
      </c>
      <c r="L305">
        <v>0</v>
      </c>
      <c r="M305">
        <f>IFERROR(Marketing_Data[[#This Row],[leads]]/Marketing_Data[[#This Row],[clicks]],0)</f>
        <v>3.90625E-3</v>
      </c>
      <c r="N305">
        <f>IFERROR(Marketing_Data[[#This Row],[clicks]]/Marketing_Data[[#This Row],[impressions]],0)</f>
        <v>1.3199618448529221E-3</v>
      </c>
      <c r="O305">
        <f>IFERROR(Marketing_Data[[#This Row],[orders]]/Marketing_Data[[#This Row],[leads]],0)</f>
        <v>0</v>
      </c>
      <c r="P305">
        <f>IFERROR(Marketing_Data[[#This Row],[revenue]]/Marketing_Data[[#This Row],[orders]],0)</f>
        <v>0</v>
      </c>
      <c r="Q305">
        <f t="shared" si="30"/>
        <v>0.742919921875</v>
      </c>
      <c r="R305">
        <f t="shared" si="31"/>
        <v>190.1875</v>
      </c>
      <c r="S305">
        <f t="shared" si="32"/>
        <v>0</v>
      </c>
      <c r="T305">
        <f t="shared" si="33"/>
        <v>-760.75</v>
      </c>
      <c r="U305">
        <f t="shared" si="34"/>
        <v>-1</v>
      </c>
      <c r="V305">
        <v>0</v>
      </c>
    </row>
    <row r="306" spans="1:22" x14ac:dyDescent="0.25">
      <c r="A306" s="2">
        <v>305</v>
      </c>
      <c r="B306" s="1">
        <v>44255</v>
      </c>
      <c r="C306" s="1" t="str">
        <f t="shared" si="28"/>
        <v>Weekend</v>
      </c>
      <c r="D306" t="s">
        <v>20</v>
      </c>
      <c r="E306" t="str">
        <f t="shared" si="29"/>
        <v>Other</v>
      </c>
      <c r="F306" t="s">
        <v>12</v>
      </c>
      <c r="G306">
        <v>4387490</v>
      </c>
      <c r="H306">
        <v>1933</v>
      </c>
      <c r="I306">
        <v>224.81</v>
      </c>
      <c r="J306">
        <v>58</v>
      </c>
      <c r="K306">
        <v>0</v>
      </c>
      <c r="L306">
        <v>0</v>
      </c>
      <c r="M306">
        <f>IFERROR(Marketing_Data[[#This Row],[leads]]/Marketing_Data[[#This Row],[clicks]],0)</f>
        <v>0</v>
      </c>
      <c r="N306">
        <f>IFERROR(Marketing_Data[[#This Row],[clicks]]/Marketing_Data[[#This Row],[impressions]],0)</f>
        <v>3.0005173305742368E-2</v>
      </c>
      <c r="O306">
        <f>IFERROR(Marketing_Data[[#This Row],[orders]]/Marketing_Data[[#This Row],[leads]],0)</f>
        <v>0</v>
      </c>
      <c r="P306">
        <f>IFERROR(Marketing_Data[[#This Row],[revenue]]/Marketing_Data[[#This Row],[orders]],0)</f>
        <v>0</v>
      </c>
      <c r="Q306">
        <f t="shared" si="30"/>
        <v>3.8760344827586208</v>
      </c>
      <c r="R306">
        <f t="shared" si="31"/>
        <v>0</v>
      </c>
      <c r="S306">
        <f t="shared" si="32"/>
        <v>0</v>
      </c>
      <c r="T306">
        <f t="shared" si="33"/>
        <v>-224.81</v>
      </c>
      <c r="U306">
        <f t="shared" si="34"/>
        <v>-1</v>
      </c>
      <c r="V306">
        <v>0</v>
      </c>
    </row>
    <row r="307" spans="1:22" x14ac:dyDescent="0.25">
      <c r="A307" s="2">
        <v>306</v>
      </c>
      <c r="B307" s="1">
        <v>44255</v>
      </c>
      <c r="C307" s="1" t="str">
        <f t="shared" si="28"/>
        <v>Weekend</v>
      </c>
      <c r="D307" t="s">
        <v>21</v>
      </c>
      <c r="E307" t="str">
        <f t="shared" si="29"/>
        <v>Other</v>
      </c>
      <c r="F307" t="s">
        <v>12</v>
      </c>
      <c r="G307">
        <v>544756</v>
      </c>
      <c r="H307">
        <v>25840</v>
      </c>
      <c r="I307">
        <v>6844.8</v>
      </c>
      <c r="J307">
        <v>248</v>
      </c>
      <c r="K307">
        <v>5</v>
      </c>
      <c r="L307">
        <v>1</v>
      </c>
      <c r="M307">
        <f>IFERROR(Marketing_Data[[#This Row],[leads]]/Marketing_Data[[#This Row],[clicks]],0)</f>
        <v>2.0161290322580645E-2</v>
      </c>
      <c r="N307">
        <f>IFERROR(Marketing_Data[[#This Row],[clicks]]/Marketing_Data[[#This Row],[impressions]],0)</f>
        <v>9.5975232198142416E-3</v>
      </c>
      <c r="O307">
        <f>IFERROR(Marketing_Data[[#This Row],[orders]]/Marketing_Data[[#This Row],[leads]],0)</f>
        <v>0.2</v>
      </c>
      <c r="P307">
        <f>IFERROR(Marketing_Data[[#This Row],[revenue]]/Marketing_Data[[#This Row],[orders]],0)</f>
        <v>1491</v>
      </c>
      <c r="Q307">
        <f t="shared" si="30"/>
        <v>27.6</v>
      </c>
      <c r="R307">
        <f t="shared" si="31"/>
        <v>1368.96</v>
      </c>
      <c r="S307">
        <f t="shared" si="32"/>
        <v>6844.8</v>
      </c>
      <c r="T307">
        <f t="shared" si="33"/>
        <v>-5353.8</v>
      </c>
      <c r="U307">
        <f t="shared" si="34"/>
        <v>-0.7821704067321178</v>
      </c>
      <c r="V307">
        <v>1491</v>
      </c>
    </row>
    <row r="308" spans="1:22" x14ac:dyDescent="0.25">
      <c r="A308" s="2">
        <v>307</v>
      </c>
      <c r="B308" s="1">
        <v>44255</v>
      </c>
      <c r="C308" s="1" t="str">
        <f t="shared" si="28"/>
        <v>Weekend</v>
      </c>
      <c r="D308" t="s">
        <v>22</v>
      </c>
      <c r="E308" t="str">
        <f t="shared" si="29"/>
        <v>Other</v>
      </c>
      <c r="F308" t="s">
        <v>17</v>
      </c>
      <c r="G308">
        <v>374754</v>
      </c>
      <c r="H308">
        <v>94058</v>
      </c>
      <c r="I308">
        <v>4845.6499999999996</v>
      </c>
      <c r="J308">
        <v>594</v>
      </c>
      <c r="K308">
        <v>12</v>
      </c>
      <c r="L308">
        <v>1</v>
      </c>
      <c r="M308">
        <f>IFERROR(Marketing_Data[[#This Row],[leads]]/Marketing_Data[[#This Row],[clicks]],0)</f>
        <v>2.0202020202020204E-2</v>
      </c>
      <c r="N308">
        <f>IFERROR(Marketing_Data[[#This Row],[clicks]]/Marketing_Data[[#This Row],[impressions]],0)</f>
        <v>6.3152522911395096E-3</v>
      </c>
      <c r="O308">
        <f>IFERROR(Marketing_Data[[#This Row],[orders]]/Marketing_Data[[#This Row],[leads]],0)</f>
        <v>8.3333333333333329E-2</v>
      </c>
      <c r="P308">
        <f>IFERROR(Marketing_Data[[#This Row],[revenue]]/Marketing_Data[[#This Row],[orders]],0)</f>
        <v>5008</v>
      </c>
      <c r="Q308">
        <f t="shared" si="30"/>
        <v>8.1576599326599322</v>
      </c>
      <c r="R308">
        <f t="shared" si="31"/>
        <v>403.80416666666662</v>
      </c>
      <c r="S308">
        <f t="shared" si="32"/>
        <v>4845.6499999999996</v>
      </c>
      <c r="T308">
        <f t="shared" si="33"/>
        <v>162.35000000000036</v>
      </c>
      <c r="U308">
        <f t="shared" si="34"/>
        <v>3.3504277031977212E-2</v>
      </c>
      <c r="V308">
        <v>5008</v>
      </c>
    </row>
    <row r="309" spans="1:22" x14ac:dyDescent="0.25">
      <c r="A309" s="2">
        <v>308</v>
      </c>
      <c r="B309" s="1">
        <v>44255</v>
      </c>
      <c r="C309" s="1" t="str">
        <f t="shared" si="28"/>
        <v>Weekend</v>
      </c>
      <c r="D309" t="s">
        <v>23</v>
      </c>
      <c r="E309" t="str">
        <f t="shared" si="29"/>
        <v>Other</v>
      </c>
      <c r="F309" t="s">
        <v>24</v>
      </c>
      <c r="G309">
        <v>39889</v>
      </c>
      <c r="H309">
        <v>8490000</v>
      </c>
      <c r="I309">
        <v>6822.62</v>
      </c>
      <c r="J309">
        <v>849</v>
      </c>
      <c r="K309">
        <v>18</v>
      </c>
      <c r="L309">
        <v>2</v>
      </c>
      <c r="M309">
        <f>IFERROR(Marketing_Data[[#This Row],[leads]]/Marketing_Data[[#This Row],[clicks]],0)</f>
        <v>2.1201413427561839E-2</v>
      </c>
      <c r="N309">
        <f>IFERROR(Marketing_Data[[#This Row],[clicks]]/Marketing_Data[[#This Row],[impressions]],0)</f>
        <v>1E-4</v>
      </c>
      <c r="O309">
        <f>IFERROR(Marketing_Data[[#This Row],[orders]]/Marketing_Data[[#This Row],[leads]],0)</f>
        <v>0.1111111111111111</v>
      </c>
      <c r="P309">
        <f>IFERROR(Marketing_Data[[#This Row],[revenue]]/Marketing_Data[[#This Row],[orders]],0)</f>
        <v>3515</v>
      </c>
      <c r="Q309">
        <f t="shared" si="30"/>
        <v>8.0360659599528859</v>
      </c>
      <c r="R309">
        <f t="shared" si="31"/>
        <v>379.03444444444443</v>
      </c>
      <c r="S309">
        <f t="shared" si="32"/>
        <v>3411.31</v>
      </c>
      <c r="T309">
        <f t="shared" si="33"/>
        <v>207.38000000000011</v>
      </c>
      <c r="U309">
        <f t="shared" si="34"/>
        <v>3.039594759784366E-2</v>
      </c>
      <c r="V309">
        <v>7030</v>
      </c>
    </row>
    <row r="310" spans="1:22" x14ac:dyDescent="0.25">
      <c r="B310" s="1"/>
      <c r="C310" s="1"/>
      <c r="U310" s="3"/>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B89A-AA3A-4734-9316-96E21B73AF9F}">
  <dimension ref="A1:Z33"/>
  <sheetViews>
    <sheetView tabSelected="1" zoomScale="80" zoomScaleNormal="80" workbookViewId="0">
      <selection activeCell="Z18" sqref="Z18"/>
    </sheetView>
  </sheetViews>
  <sheetFormatPr defaultRowHeight="15" x14ac:dyDescent="0.25"/>
  <cols>
    <col min="9" max="9" width="9" customWidth="1"/>
  </cols>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overall</vt:lpstr>
      <vt:lpstr>Campaign</vt:lpstr>
      <vt:lpstr>date</vt:lpstr>
      <vt:lpstr>Datetype</vt:lpstr>
      <vt:lpstr>Catergory</vt:lpstr>
      <vt:lpstr>Tier</vt:lpstr>
      <vt:lpstr>Sheet2</vt:lpstr>
      <vt:lpstr>Marketing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Samsyn</dc:creator>
  <cp:lastModifiedBy>samson samson</cp:lastModifiedBy>
  <dcterms:created xsi:type="dcterms:W3CDTF">2026-09-23T15:59:57Z</dcterms:created>
  <dcterms:modified xsi:type="dcterms:W3CDTF">2026-10-05T16:37:35Z</dcterms:modified>
</cp:coreProperties>
</file>